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/>
  <workbookPr/>
  <mc:AlternateContent xmlns:mc="http://schemas.openxmlformats.org/markup-compatibility/2006">
    <mc:Choice Requires="x15">
      <x15ac:absPath xmlns:x15ac="http://schemas.microsoft.com/office/spreadsheetml/2010/11/ac" url="D:\Sangeetha\Dotnet\"/>
    </mc:Choice>
  </mc:AlternateContent>
  <xr:revisionPtr revIDLastSave="0" documentId="13_ncr:1_{130C2648-74B7-4775-B4DA-6773D07FCDD2}" xr6:coauthVersionLast="47" xr6:coauthVersionMax="47" xr10:uidLastSave="{00000000-0000-0000-0000-000000000000}"/>
  <bookViews>
    <workbookView xWindow="-108" yWindow="-108" windowWidth="23256" windowHeight="12576" xr2:uid="{00000000-000D-0000-FFFF-FFFF00000000}"/>
  </bookViews>
  <sheets>
    <sheet name="Instructions" sheetId="1" r:id="rId1"/>
    <sheet name="DotNet_Assessment" sheetId="2" r:id="rId2"/>
    <sheet name="Assessment_Summary" sheetId="3" r:id="rId3"/>
  </sheets>
  <calcPr calcId="191029"/>
  <extLst>
    <ext uri="GoogleSheetsCustomDataVersion2">
      <go:sheetsCustomData xmlns:go="http://customooxmlschemas.google.com/" r:id="rId7" roundtripDataChecksum="H8ReKGoHfiKl+zqj8ly6Y5Cz4COwaxegVv5AL+7FAVo="/>
    </ext>
  </extLst>
</workbook>
</file>

<file path=xl/calcChain.xml><?xml version="1.0" encoding="utf-8"?>
<calcChain xmlns="http://schemas.openxmlformats.org/spreadsheetml/2006/main">
  <c r="A2" i="3" l="1"/>
  <c r="H64" i="2"/>
  <c r="N64" i="2" s="1"/>
  <c r="N63" i="2"/>
  <c r="H63" i="2"/>
  <c r="M63" i="2" s="1"/>
  <c r="H62" i="2"/>
  <c r="N62" i="2" s="1"/>
  <c r="H61" i="2"/>
  <c r="N61" i="2" s="1"/>
  <c r="H60" i="2"/>
  <c r="M60" i="2" s="1"/>
  <c r="M59" i="2"/>
  <c r="H59" i="2"/>
  <c r="N59" i="2" s="1"/>
  <c r="H58" i="2"/>
  <c r="M58" i="2" s="1"/>
  <c r="M57" i="2"/>
  <c r="H57" i="2"/>
  <c r="N57" i="2" s="1"/>
  <c r="N56" i="2"/>
  <c r="H56" i="2"/>
  <c r="M56" i="2" s="1"/>
  <c r="N55" i="2"/>
  <c r="M55" i="2"/>
  <c r="H55" i="2"/>
  <c r="H54" i="2"/>
  <c r="N54" i="2" s="1"/>
  <c r="H53" i="2"/>
  <c r="N53" i="2" s="1"/>
  <c r="N52" i="2"/>
  <c r="H52" i="2"/>
  <c r="M52" i="2" s="1"/>
  <c r="N51" i="2"/>
  <c r="M51" i="2"/>
  <c r="H51" i="2"/>
  <c r="H50" i="2"/>
  <c r="N50" i="2" s="1"/>
  <c r="H49" i="2"/>
  <c r="N49" i="2" s="1"/>
  <c r="N48" i="2"/>
  <c r="H48" i="2"/>
  <c r="M48" i="2" s="1"/>
  <c r="N47" i="2"/>
  <c r="M47" i="2"/>
  <c r="H47" i="2"/>
  <c r="H46" i="2"/>
  <c r="N46" i="2" s="1"/>
  <c r="H45" i="2"/>
  <c r="N45" i="2" s="1"/>
  <c r="N44" i="2"/>
  <c r="H44" i="2"/>
  <c r="M44" i="2" s="1"/>
  <c r="N43" i="2"/>
  <c r="M43" i="2"/>
  <c r="H43" i="2"/>
  <c r="H42" i="2"/>
  <c r="M42" i="2" s="1"/>
  <c r="H41" i="2"/>
  <c r="N41" i="2" s="1"/>
  <c r="N40" i="2"/>
  <c r="H40" i="2"/>
  <c r="M40" i="2" s="1"/>
  <c r="N39" i="2"/>
  <c r="M39" i="2"/>
  <c r="H39" i="2"/>
  <c r="H38" i="2"/>
  <c r="N38" i="2" s="1"/>
  <c r="H37" i="2"/>
  <c r="N37" i="2" s="1"/>
  <c r="N36" i="2"/>
  <c r="H36" i="2"/>
  <c r="M36" i="2" s="1"/>
  <c r="N35" i="2"/>
  <c r="M35" i="2"/>
  <c r="H35" i="2"/>
  <c r="H34" i="2"/>
  <c r="N34" i="2" s="1"/>
  <c r="H33" i="2"/>
  <c r="N33" i="2" s="1"/>
  <c r="N32" i="2"/>
  <c r="H32" i="2"/>
  <c r="M32" i="2" s="1"/>
  <c r="N31" i="2"/>
  <c r="I16" i="3" s="1"/>
  <c r="M31" i="2"/>
  <c r="H31" i="2"/>
  <c r="D16" i="3" s="1"/>
  <c r="H30" i="2"/>
  <c r="N30" i="2" s="1"/>
  <c r="H29" i="2"/>
  <c r="N29" i="2" s="1"/>
  <c r="N28" i="2"/>
  <c r="H28" i="2"/>
  <c r="M28" i="2" s="1"/>
  <c r="N27" i="2"/>
  <c r="M27" i="2"/>
  <c r="H27" i="2"/>
  <c r="H26" i="2"/>
  <c r="M26" i="2" s="1"/>
  <c r="H25" i="2"/>
  <c r="N25" i="2" s="1"/>
  <c r="N24" i="2"/>
  <c r="H24" i="2"/>
  <c r="M24" i="2" s="1"/>
  <c r="N23" i="2"/>
  <c r="M23" i="2"/>
  <c r="H23" i="2"/>
  <c r="H22" i="2"/>
  <c r="N22" i="2" s="1"/>
  <c r="H21" i="2"/>
  <c r="N21" i="2" s="1"/>
  <c r="N20" i="2"/>
  <c r="H20" i="2"/>
  <c r="M20" i="2" s="1"/>
  <c r="N19" i="2"/>
  <c r="M19" i="2"/>
  <c r="H19" i="2"/>
  <c r="D15" i="3" s="1"/>
  <c r="H18" i="2"/>
  <c r="M18" i="2" s="1"/>
  <c r="H17" i="2"/>
  <c r="N17" i="2" s="1"/>
  <c r="N16" i="2"/>
  <c r="H16" i="2"/>
  <c r="M16" i="2" s="1"/>
  <c r="N15" i="2"/>
  <c r="M15" i="2"/>
  <c r="H15" i="2"/>
  <c r="H14" i="2"/>
  <c r="N14" i="2" s="1"/>
  <c r="H13" i="2"/>
  <c r="N13" i="2" s="1"/>
  <c r="N12" i="2"/>
  <c r="H12" i="2"/>
  <c r="M12" i="2" s="1"/>
  <c r="N11" i="2"/>
  <c r="M11" i="2"/>
  <c r="H11" i="2"/>
  <c r="H10" i="2"/>
  <c r="N10" i="2" s="1"/>
  <c r="H9" i="2"/>
  <c r="N9" i="2" s="1"/>
  <c r="N8" i="2"/>
  <c r="H8" i="2"/>
  <c r="M8" i="2" s="1"/>
  <c r="N7" i="2"/>
  <c r="M7" i="2"/>
  <c r="H7" i="2"/>
  <c r="H6" i="2"/>
  <c r="N6" i="2" s="1"/>
  <c r="H5" i="2"/>
  <c r="E17" i="3" s="1"/>
  <c r="A2" i="2"/>
  <c r="I19" i="3" l="1"/>
  <c r="H19" i="3"/>
  <c r="N60" i="2"/>
  <c r="H18" i="3" s="1"/>
  <c r="H5" i="3"/>
  <c r="F17" i="3"/>
  <c r="G17" i="3" s="1"/>
  <c r="M34" i="2"/>
  <c r="E16" i="3"/>
  <c r="M10" i="2"/>
  <c r="M50" i="2"/>
  <c r="N18" i="2"/>
  <c r="M21" i="2"/>
  <c r="N26" i="2"/>
  <c r="H15" i="3" s="1"/>
  <c r="M37" i="2"/>
  <c r="N42" i="2"/>
  <c r="I17" i="3" s="1"/>
  <c r="M45" i="2"/>
  <c r="M53" i="2"/>
  <c r="N58" i="2"/>
  <c r="I18" i="3" s="1"/>
  <c r="M61" i="2"/>
  <c r="F16" i="3"/>
  <c r="G16" i="3" s="1"/>
  <c r="D19" i="3"/>
  <c r="M5" i="2"/>
  <c r="M13" i="2"/>
  <c r="M29" i="2"/>
  <c r="N5" i="2"/>
  <c r="M64" i="2"/>
  <c r="E15" i="3"/>
  <c r="E19" i="3"/>
  <c r="D14" i="3"/>
  <c r="F15" i="3"/>
  <c r="G15" i="3" s="1"/>
  <c r="H16" i="3"/>
  <c r="D18" i="3"/>
  <c r="F19" i="3"/>
  <c r="M14" i="2"/>
  <c r="M30" i="2"/>
  <c r="M54" i="2"/>
  <c r="M62" i="2"/>
  <c r="E14" i="3"/>
  <c r="E18" i="3"/>
  <c r="F14" i="3"/>
  <c r="G14" i="3" s="1"/>
  <c r="D17" i="3"/>
  <c r="F18" i="3"/>
  <c r="G18" i="3" s="1"/>
  <c r="M6" i="2"/>
  <c r="M22" i="2"/>
  <c r="M38" i="2"/>
  <c r="M46" i="2"/>
  <c r="M9" i="2"/>
  <c r="M17" i="2"/>
  <c r="M25" i="2"/>
  <c r="M33" i="2"/>
  <c r="M41" i="2"/>
  <c r="M49" i="2"/>
  <c r="E5" i="3"/>
  <c r="B5" i="3" s="1"/>
  <c r="G19" i="3" l="1"/>
  <c r="H9" i="3"/>
  <c r="E9" i="3"/>
  <c r="I14" i="3"/>
  <c r="B9" i="3"/>
  <c r="H14" i="3"/>
  <c r="I15" i="3"/>
  <c r="H17" i="3"/>
</calcChain>
</file>

<file path=xl/sharedStrings.xml><?xml version="1.0" encoding="utf-8"?>
<sst xmlns="http://schemas.openxmlformats.org/spreadsheetml/2006/main" count="323" uniqueCount="262">
  <si>
    <t>.NET Bench Skill Assessment</t>
  </si>
  <si>
    <t>Purpose: assess the resource’s current .NET capability after moving to the bench, validate each claim with evidence, and identify whether the resource is client ready or needs training.</t>
  </si>
  <si>
    <t>1. RESOURCE DETAILS</t>
  </si>
  <si>
    <t>Name</t>
  </si>
  <si>
    <t>Employee ID</t>
  </si>
  <si>
    <t>Current designation</t>
  </si>
  <si>
    <t>Total experience</t>
  </si>
  <si>
    <t>Relevant .NET experience</t>
  </si>
  <si>
    <t>Last project / role</t>
  </si>
  <si>
    <t>Assessment role</t>
  </si>
  <si>
    <t>Assessor</t>
  </si>
  <si>
    <t>.NET Assessment Summary</t>
  </si>
  <si>
    <t>Self-assessment date</t>
  </si>
  <si>
    <t>Assessment date</t>
  </si>
  <si>
    <t>2. RATING SCALE</t>
  </si>
  <si>
    <t>Rating</t>
  </si>
  <si>
    <t>Meaning</t>
  </si>
  <si>
    <t>Use this rating when</t>
  </si>
  <si>
    <t>No exposure</t>
  </si>
  <si>
    <t>You have not used the skill.</t>
  </si>
  <si>
    <t>Aware</t>
  </si>
  <si>
    <t>You understand the basics but have not applied it hands-on.</t>
  </si>
  <si>
    <t>Used with guidance</t>
  </si>
  <si>
    <t>You used it by following an existing project pattern or with support.</t>
  </si>
  <si>
    <t>Independent</t>
  </si>
  <si>
    <t>You implemented or configured it independently and can explain a real decision or issue.</t>
  </si>
  <si>
    <t>Deep / can lead</t>
  </si>
  <si>
    <t>FINAL CATEGORY</t>
  </si>
  <si>
    <t>You can explain internal behaviour, compare alternatives, guide others, and defend your decisions.</t>
  </si>
  <si>
    <t>3. HOW THE RESOURCE SHOULD ANSWER</t>
  </si>
  <si>
    <t>Step</t>
  </si>
  <si>
    <t>ASSESSMENT COMPLETE</t>
  </si>
  <si>
    <t>What to provide</t>
  </si>
  <si>
    <t>ITEMS AT BAR</t>
  </si>
  <si>
    <t>1</t>
  </si>
  <si>
    <t>Give an honest self-rating based on your current capability.</t>
  </si>
  <si>
    <t>2</t>
  </si>
  <si>
    <t>For a rating of 2, 3 or 4, enter a real project example—not only a definition.</t>
  </si>
  <si>
    <t>3</t>
  </si>
  <si>
    <t>Answer using: Context → What I personally did → Decision/problem → Result or impact.</t>
  </si>
  <si>
    <t>4</t>
  </si>
  <si>
    <t>.NET Skill Assessment — Resource and Assessor</t>
  </si>
  <si>
    <t>For a rating of 3 or 4, be ready to explain configuration, debugging, alternatives and trade-offs.</t>
  </si>
  <si>
    <t>ID</t>
  </si>
  <si>
    <t>Area</t>
  </si>
  <si>
    <t>Skill Item</t>
  </si>
  <si>
    <t>What a clear Level-3 answer should demonstrate</t>
  </si>
  <si>
    <t>Expected: Software Engineer</t>
  </si>
  <si>
    <t>Expected: Technical Analyst</t>
  </si>
  <si>
    <t>Expected: Tech Lead / Architect</t>
  </si>
  <si>
    <t>Expected for Selected Role</t>
  </si>
  <si>
    <t>Self Rating</t>
  </si>
  <si>
    <t>Resource Answer / Project Example</t>
  </si>
  <si>
    <t>Assessed Rating</t>
  </si>
  <si>
    <t>Assessor Comments</t>
  </si>
  <si>
    <t>Gap</t>
  </si>
  <si>
    <t>Assessment Result</t>
  </si>
  <si>
    <t>D01</t>
  </si>
  <si>
    <t>D1</t>
  </si>
  <si>
    <t>C# type system: value vs reference types, boxing, structs vs classes</t>
  </si>
  <si>
    <t>Names a place boxing or struct choice affected performance</t>
  </si>
  <si>
    <t>CRITICAL GAPS</t>
  </si>
  <si>
    <t>GAP ITEMS</t>
  </si>
  <si>
    <t>STRENGTHS</t>
  </si>
  <si>
    <t>DIMENSION SUMMARY</t>
  </si>
  <si>
    <t>Description</t>
  </si>
  <si>
    <t>Applicable</t>
  </si>
  <si>
    <t>Assessed</t>
  </si>
  <si>
    <t>At Bar</t>
  </si>
  <si>
    <t>At-Bar %</t>
  </si>
  <si>
    <t>Critical</t>
  </si>
  <si>
    <t>Gaps</t>
  </si>
  <si>
    <t>Core language fundamentals</t>
  </si>
  <si>
    <t>D02</t>
  </si>
  <si>
    <t>LINQ internals: deferred execution, IEnumerable vs IQueryable</t>
  </si>
  <si>
    <t>Explains a bug caused by deferred execution or multiple enumeration</t>
  </si>
  <si>
    <t>D03</t>
  </si>
  <si>
    <t>Generics and variance (in/out)</t>
  </si>
  <si>
    <t>Explains covariance with a practical example, not just definitions</t>
  </si>
  <si>
    <t>D2</t>
  </si>
  <si>
    <t>Frameworks and ecosystem</t>
  </si>
  <si>
    <t>D04</t>
  </si>
  <si>
    <t>Exception handling strategy and custom exceptions</t>
  </si>
  <si>
    <t>Defends their project's exception strategy incl. global handling</t>
  </si>
  <si>
    <t>D05</t>
  </si>
  <si>
    <t>CLR memory and resource management: allocations, GC generations, LOH, IDisposable, finalizers and memory-pressure diagnosis</t>
  </si>
  <si>
    <t>Explains a real memory or resource-pressure issue, identifies whether it was caused by allocations, retained references or undisposed resources, and describes how it was verified.</t>
  </si>
  <si>
    <t>D3</t>
  </si>
  <si>
    <t>Data and SQL</t>
  </si>
  <si>
    <t>D06</t>
  </si>
  <si>
    <t>Async/await: state machine, sync-over-async, cancellation, timeouts and exception propagation</t>
  </si>
  <si>
    <t>Explains a real async issue involving blocking, cancellation, timeout, parallel calls or exception handling, and how it was fixed</t>
  </si>
  <si>
    <t>D4</t>
  </si>
  <si>
    <t>Engineering and problem solving</t>
  </si>
  <si>
    <t>D07</t>
  </si>
  <si>
    <t>Threading and TPL: Task vs Thread, parallelism, lock/Interlocked</t>
  </si>
  <si>
    <t>Picks the right construct for 3 scenario types with reasons</t>
  </si>
  <si>
    <t>D08</t>
  </si>
  <si>
    <t>Producer/consumer patterns: concurrent collections, System.Threading.Channels and backpressure</t>
  </si>
  <si>
    <t>Explains a producer/consumer flow they built, why they chose a concurrent collection or Channel, and how overload, completion and failure were handled</t>
  </si>
  <si>
    <t>D5</t>
  </si>
  <si>
    <t>Design, architecture and NFRs</t>
  </si>
  <si>
    <t>D09</t>
  </si>
  <si>
    <t>Delegates, events and expression trees</t>
  </si>
  <si>
    <t>Gives a practical delegate or event example and explains how an expression tree used by IQueryable differs from an executable delegate</t>
  </si>
  <si>
    <t>D6</t>
  </si>
  <si>
    <t>Project narration</t>
  </si>
  <si>
    <t>D10</t>
  </si>
  <si>
    <t>Reflection and attribute-based framework behaviour</t>
  </si>
  <si>
    <t>Explains how attributes are discovered and acted upon at runtime in a framework or feature they used</t>
  </si>
  <si>
    <t>D11</t>
  </si>
  <si>
    <t>Performance-minded C#: Span&lt;T&gt;/Memory&lt;T&gt;, allocations, benchmarking</t>
  </si>
  <si>
    <t>Has measured with BenchmarkDotNet or similar on a real hot path</t>
  </si>
  <si>
    <t>CATEGORY RULE USED</t>
  </si>
  <si>
    <t>Client Ready: 85% or more applicable items at/above the expected level and zero critical gaps.
Minimal Training Needed: 65% or more at/above the expected level and no more than three critical gaps.
Intensive Training Needed: below the minimal threshold. The result remains Assessment Incomplete until all applicable items are assessed.</t>
  </si>
  <si>
    <t>D12</t>
  </si>
  <si>
    <t>Platform evolution: .NET Framework versus modern .NET and migration realities</t>
  </si>
  <si>
    <t>Explains what a .NET Framework or older .NET migration to a supported modern .NET version involves, including dependencies, configuration, hosting, authentication and deployment</t>
  </si>
  <si>
    <t>D13</t>
  </si>
  <si>
    <t>Diagnostics: dotnet-trace/counters, dump analysis</t>
  </si>
  <si>
    <t>Has diagnosed a real issue with runtime diagnostics tooling</t>
  </si>
  <si>
    <t>D14</t>
  </si>
  <si>
    <t>NuGet and dependency management: versioning, conflicts, transitive pins</t>
  </si>
  <si>
    <t>Has resolved a dependency conflict and explains the mechanism</t>
  </si>
  <si>
    <t>D15</t>
  </si>
  <si>
    <t>ASP.NET Core pipeline: middleware order, filters, endpoint routing</t>
  </si>
  <si>
    <t>Traces a request end to end; explains why middleware order matters with a case</t>
  </si>
  <si>
    <t>D16</t>
  </si>
  <si>
    <t>Built-in DI: lifetimes and the captive-dependency trap</t>
  </si>
  <si>
    <t>Explains a scoped-in-singleton bug and how lifetimes should be chosen</t>
  </si>
  <si>
    <t>D17</t>
  </si>
  <si>
    <t>Web APIs: model binding, validation, versioning, ProblemDetails</t>
  </si>
  <si>
    <t>Shows their error-contract design and how validation failures reach clients</t>
  </si>
  <si>
    <t>D18</t>
  </si>
  <si>
    <t>EF Core: change tracking, loading strategies, N+1, migrations</t>
  </si>
  <si>
    <t>Has found and fixed an N+1; explains tracking vs no-tracking choices</t>
  </si>
  <si>
    <t>D19</t>
  </si>
  <si>
    <t>Auth: ASP.NET Identity, JWT bearer, OAuth2/OIDC flows</t>
  </si>
  <si>
    <t>Draws their auth flow end to end incl. token validation and expiry</t>
  </si>
  <si>
    <t>D20</t>
  </si>
  <si>
    <t>Configuration and options pattern; secrets management</t>
  </si>
  <si>
    <t>Explains IOptions usage and where secrets never appear</t>
  </si>
  <si>
    <t>D21</t>
  </si>
  <si>
    <t>Caching: IMemoryCache vs distributed cache, invalidation</t>
  </si>
  <si>
    <t>Explains what they cached, why, and how staleness was bounded</t>
  </si>
  <si>
    <t>D22</t>
  </si>
  <si>
    <t>Background work: IHostedService/BackgroundService, queues</t>
  </si>
  <si>
    <t>Explains what happens when a background task fails mid-way</t>
  </si>
  <si>
    <t>D23</t>
  </si>
  <si>
    <t>Testing: xUnit, Moq/NSubstitute, WebApplicationFactory integration tests</t>
  </si>
  <si>
    <t>Defends what they test at each layer incl. one real integration test design</t>
  </si>
  <si>
    <t>D24</t>
  </si>
  <si>
    <t>Logging and observability: ILogger, OpenTelemetry, health checks</t>
  </si>
  <si>
    <t>Names the dashboards/alerts their service had and one they'd add</t>
  </si>
  <si>
    <t>D25</t>
  </si>
  <si>
    <t>Messaging integration (Service Bus/Kafka/RabbitMQ)</t>
  </si>
  <si>
    <t>Explains consumer failure handling: retry, DLQ, idempotency</t>
  </si>
  <si>
    <t>D26</t>
  </si>
  <si>
    <t>Hosting and deployment: Kestrel, IIS, containers, scaling</t>
  </si>
  <si>
    <t>Explains their deployment topology and one scaling decision</t>
  </si>
  <si>
    <t>D27</t>
  </si>
  <si>
    <t>SQL joins, aggregation, GROUP BY, window functions</t>
  </si>
  <si>
    <t>Writes a 3-table join with aggregation live; explains a window function they actually used</t>
  </si>
  <si>
    <t>D28</t>
  </si>
  <si>
    <t>Indexing: index types, composite index design, when an index hurts</t>
  </si>
  <si>
    <t>Names a real index they added, why column order mattered, and the write-cost tradeoff</t>
  </si>
  <si>
    <t>D29</t>
  </si>
  <si>
    <t>Reading query plans (EXPLAIN) and tuning a slow query</t>
  </si>
  <si>
    <t>Walks through a real slow query they fixed: plan before/after</t>
  </si>
  <si>
    <t>D30</t>
  </si>
  <si>
    <t>Transactions, isolation levels, locking and deadlocks</t>
  </si>
  <si>
    <t>Describes a concurrency bug they hit and which isolation/locking choice fixed it</t>
  </si>
  <si>
    <t>D31</t>
  </si>
  <si>
    <t>Schema design: normalization vs denormalization tradeoffs</t>
  </si>
  <si>
    <t>Defends a schema they designed, including what they denormalized and why</t>
  </si>
  <si>
    <t>D32</t>
  </si>
  <si>
    <t>ORM vs native SQL decisions; batch operations at volume</t>
  </si>
  <si>
    <t>Explains where they bypassed the ORM in a project and what it bought</t>
  </si>
  <si>
    <t>D33</t>
  </si>
  <si>
    <t>Connection pooling behavior and sizing</t>
  </si>
  <si>
    <t>Explains pool exhaustion symptoms and how they sized/tuned a pool</t>
  </si>
  <si>
    <t>D34</t>
  </si>
  <si>
    <t>NoSQL: when and which (document / KV / columnar); consistency models</t>
  </si>
  <si>
    <t>Justifies a SQL-vs-NoSQL call with a concrete access pattern, not fashion</t>
  </si>
  <si>
    <t>D35</t>
  </si>
  <si>
    <t>Schema migrations and versioning in a team (Flyway/Liquibase/EF/Alembic)</t>
  </si>
  <si>
    <t>Describes their migration discipline incl. a rollback situation</t>
  </si>
  <si>
    <t>D36</t>
  </si>
  <si>
    <t>Data at scale: pagination, streaming large results, archival strategy</t>
  </si>
  <si>
    <t>Explains how a real endpoint handled large result sets without OOM</t>
  </si>
  <si>
    <t>D37</t>
  </si>
  <si>
    <t>Data structures &amp; algorithms working fluency (hashing, arrays/strings, complexity)</t>
  </si>
  <si>
    <t>Solves a medium problem in-time and states complexity unprompted</t>
  </si>
  <si>
    <t>D38</t>
  </si>
  <si>
    <t>Timed live coding while thinking aloud</t>
  </si>
  <si>
    <t>Narrates approach, clarifies inputs, tests own code before declaring done</t>
  </si>
  <si>
    <t>D39</t>
  </si>
  <si>
    <t>Debugging methodology: reproduce, isolate, fix, prove</t>
  </si>
  <si>
    <t>Tells a hard-bug story with the actual isolation steps, not just the fix</t>
  </si>
  <si>
    <t>D40</t>
  </si>
  <si>
    <t>Reading unfamiliar code and making safe changes</t>
  </si>
  <si>
    <t>Describes how they safely changed code they didn't write (tests, blast radius)</t>
  </si>
  <si>
    <t>D41</t>
  </si>
  <si>
    <t>Git workflows, meaningful code review given and received</t>
  </si>
  <si>
    <t>Gives an example of review feedback they gave that changed a design</t>
  </si>
  <si>
    <t>D42</t>
  </si>
  <si>
    <t>Refactoring patterns and keeping code clean under deadline pressure</t>
  </si>
  <si>
    <t>Names a refactor they drove and how they de-risked it</t>
  </si>
  <si>
    <t>D43</t>
  </si>
  <si>
    <t>CI/CD pipelines: stages, quality gates, what breaks builds</t>
  </si>
  <si>
    <t>Explains their project's pipeline and a gate they added or fixed</t>
  </si>
  <si>
    <t>D44</t>
  </si>
  <si>
    <t>Production incident handling with logs, metrics, traces</t>
  </si>
  <si>
    <t>Walks an incident they handled: detection to resolution to prevention</t>
  </si>
  <si>
    <t>D45</t>
  </si>
  <si>
    <t>API design: idempotency, pagination, versioning, error contracts</t>
  </si>
  <si>
    <t>Defends API decisions from a service they own; knows what breaks clients</t>
  </si>
  <si>
    <t>D46</t>
  </si>
  <si>
    <t>Service/component design: layering, boundaries, dependency direction</t>
  </si>
  <si>
    <t>Sketches their service's structure and justifies each boundary</t>
  </si>
  <si>
    <t>D47</t>
  </si>
  <si>
    <t>Distributed basics: statelessness, horizontal scaling, load balancing</t>
  </si>
  <si>
    <t>Explains what made their service scalable (or what blocked it)</t>
  </si>
  <si>
    <t>D48</t>
  </si>
  <si>
    <t>Caching architecture: layers, invalidation, consistency</t>
  </si>
  <si>
    <t>Describes a cache they added: what was cached, TTL vs event invalidation, staleness handling</t>
  </si>
  <si>
    <t>D49</t>
  </si>
  <si>
    <t>Async &amp; messaging patterns: queues, pub/sub, retries, idempotency, DLQ</t>
  </si>
  <si>
    <t>Explains a real async flow incl. what happens on consumer failure</t>
  </si>
  <si>
    <t>D50</t>
  </si>
  <si>
    <t>Resilience: timeouts, circuit breakers, bulkheads, graceful degradation</t>
  </si>
  <si>
    <t>Names the failure modes their service survives and how each is handled</t>
  </si>
  <si>
    <t>D51</t>
  </si>
  <si>
    <t>NFRs as numbers: availability, latency, throughput targets</t>
  </si>
  <si>
    <t>States actual SLO-type targets from a project and how they were verified</t>
  </si>
  <si>
    <t>D52</t>
  </si>
  <si>
    <t>Scalability analysis: bottleneck identification, capacity estimation</t>
  </si>
  <si>
    <t>Does a rough capacity estimate live (users -&gt; RPS -&gt; instances) and explains the assumptions used</t>
  </si>
  <si>
    <t>D53</t>
  </si>
  <si>
    <t>Security architecture: OWASP top 10, secrets handling, data protection</t>
  </si>
  <si>
    <t>Maps 3+ OWASP risks to concrete mitigations in their own project</t>
  </si>
  <si>
    <t>D54</t>
  </si>
  <si>
    <t>Observability strategy: what to log/measure/trace and why</t>
  </si>
  <si>
    <t>Describes dashboards/alerts they built and one they'd add tomorrow</t>
  </si>
  <si>
    <t>D55</t>
  </si>
  <si>
    <t>Tradeoff articulation: consistency models, CAP in practice, cost vs performance</t>
  </si>
  <si>
    <t>Frames a real decision as 'we accepted X to gain Y'; adapts when constraint changes</t>
  </si>
  <si>
    <t>D56</t>
  </si>
  <si>
    <t>Documenting and defending designs (ADRs, design reviews)</t>
  </si>
  <si>
    <t>Has written/presented a design that was challenged, and can replay the debate</t>
  </si>
  <si>
    <t>D57</t>
  </si>
  <si>
    <t>2-3 project STAR narratives: what YOU built, why, and the outcome</t>
  </si>
  <si>
    <t>Two-minute tight story per project; 'I' not 'we'; answers follow-up questions with clear rationale</t>
  </si>
  <si>
    <t>D58</t>
  </si>
  <si>
    <t>A failure story: a production issue you owned end to end</t>
  </si>
  <si>
    <t>Owns the mistake or gap honestly and lands on what changed after</t>
  </si>
  <si>
    <t>D59</t>
  </si>
  <si>
    <t>A decision story: a technical choice you made and its tradeoffs</t>
  </si>
  <si>
    <t>Names alternatives considered and why they lost</t>
  </si>
  <si>
    <t>D60</t>
  </si>
  <si>
    <t>Quantified impact: numbers for scale, performance, or business outcome</t>
  </si>
  <si>
    <t>Gives at least 2 real numbers (latency, volume, cost, revenue) without prompting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</si>
</sst>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11">
    <font>
      <sz val="11"/>
      <color rgb="FF000000"/>
      <name val="Carlito"/>
      <scheme val="minor"/>
    </font>
    <font>
      <b/>
      <sz val="18"/>
      <color rgb="FFFFFFFF"/>
      <name val="Carlito"/>
    </font>
    <font>
      <i/>
      <sz val="11"/>
      <color rgb="FF17365D"/>
      <name val="Carlito"/>
    </font>
    <font>
      <b/>
      <sz val="11"/>
      <color rgb="FFFFFFFF"/>
      <name val="Carlito"/>
    </font>
    <font>
      <b/>
      <sz val="11"/>
      <color rgb="FF1F1F1F"/>
      <name val="Carlito"/>
    </font>
    <font>
      <sz val="11"/>
      <color rgb="FF1F1F1F"/>
      <name val="Carlito"/>
    </font>
    <font>
      <sz val="11"/>
      <name val="Carlito"/>
    </font>
    <font>
      <b/>
      <sz val="10"/>
      <color rgb="FFFFFFFF"/>
      <name val="Carlito"/>
    </font>
    <font>
      <sz val="11"/>
      <color theme="1"/>
      <name val="Carlito"/>
    </font>
    <font>
      <b/>
      <sz val="11"/>
      <color rgb="FF17365D"/>
      <name val="Carlito"/>
    </font>
    <font>
      <b/>
      <sz val="15"/>
      <color rgb="FF17365D"/>
      <name val="Carlito"/>
    </font>
  </fonts>
  <fills count="9">
    <fill>
      <patternFill patternType="none"/>
    </fill>
    <fill>
      <patternFill patternType="gray125"/>
    </fill>
    <fill>
      <patternFill patternType="solid">
        <fgColor rgb="FF17365D"/>
        <bgColor rgb="FF17365D"/>
      </patternFill>
    </fill>
    <fill>
      <patternFill patternType="solid">
        <fgColor rgb="FFD9EAF7"/>
        <bgColor rgb="FFD9EAF7"/>
      </patternFill>
    </fill>
    <fill>
      <patternFill patternType="solid">
        <fgColor rgb="FF2F75B5"/>
        <bgColor rgb="FF2F75B5"/>
      </patternFill>
    </fill>
    <fill>
      <patternFill patternType="solid">
        <fgColor rgb="FFFFF2CC"/>
        <bgColor rgb="FFFFF2CC"/>
      </patternFill>
    </fill>
    <fill>
      <patternFill patternType="solid">
        <fgColor rgb="FFFFFFFF"/>
        <bgColor rgb="FFFFFFFF"/>
      </patternFill>
    </fill>
    <fill>
      <patternFill patternType="solid">
        <fgColor rgb="FF00FFFF"/>
        <bgColor rgb="FF00FFFF"/>
      </patternFill>
    </fill>
    <fill>
      <patternFill patternType="solid">
        <fgColor rgb="FFF3F6F8"/>
        <bgColor rgb="FFF3F6F8"/>
      </patternFill>
    </fill>
  </fills>
  <borders count="8"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</borders>
  <cellStyleXfs count="1">
    <xf numFmtId="0" fontId="0" fillId="0" borderId="0"/>
  </cellStyleXfs>
  <cellXfs count="37">
    <xf numFmtId="0" fontId="0" fillId="0" borderId="0" xfId="0"/>
    <xf numFmtId="0" fontId="4" fillId="3" borderId="0" xfId="0" applyFont="1" applyFill="1" applyAlignment="1">
      <alignment vertical="center"/>
    </xf>
    <xf numFmtId="0" fontId="7" fillId="2" borderId="0" xfId="0" applyFont="1" applyFill="1" applyAlignment="1">
      <alignment horizontal="center" vertical="center" wrapText="1"/>
    </xf>
    <xf numFmtId="0" fontId="8" fillId="0" borderId="0" xfId="0" applyFont="1" applyAlignment="1">
      <alignment wrapText="1"/>
    </xf>
    <xf numFmtId="0" fontId="8" fillId="0" borderId="0" xfId="0" applyFont="1" applyAlignment="1">
      <alignment vertical="top"/>
    </xf>
    <xf numFmtId="0" fontId="8" fillId="0" borderId="0" xfId="0" applyFont="1" applyAlignment="1">
      <alignment vertical="top" wrapText="1"/>
    </xf>
    <xf numFmtId="0" fontId="8" fillId="0" borderId="0" xfId="0" applyFont="1" applyAlignment="1">
      <alignment horizontal="center" vertical="top"/>
    </xf>
    <xf numFmtId="0" fontId="8" fillId="7" borderId="4" xfId="0" applyFont="1" applyFill="1" applyBorder="1" applyAlignment="1">
      <alignment horizontal="center" vertical="top"/>
    </xf>
    <xf numFmtId="0" fontId="8" fillId="5" borderId="4" xfId="0" applyFont="1" applyFill="1" applyBorder="1" applyAlignment="1">
      <alignment vertical="top" wrapText="1"/>
    </xf>
    <xf numFmtId="0" fontId="8" fillId="3" borderId="4" xfId="0" applyFont="1" applyFill="1" applyBorder="1" applyAlignment="1">
      <alignment horizontal="center" vertical="top" wrapText="1"/>
    </xf>
    <xf numFmtId="0" fontId="7" fillId="2" borderId="3" xfId="0" applyFont="1" applyFill="1" applyBorder="1" applyAlignment="1">
      <alignment horizontal="center" vertical="center" wrapText="1"/>
    </xf>
    <xf numFmtId="0" fontId="7" fillId="2" borderId="4" xfId="0" applyFont="1" applyFill="1" applyBorder="1" applyAlignment="1">
      <alignment horizontal="center" vertical="center" wrapText="1"/>
    </xf>
    <xf numFmtId="0" fontId="7" fillId="2" borderId="6" xfId="0" applyFont="1" applyFill="1" applyBorder="1" applyAlignment="1">
      <alignment horizontal="center" vertical="center" wrapText="1"/>
    </xf>
    <xf numFmtId="0" fontId="8" fillId="0" borderId="0" xfId="0" applyFont="1"/>
    <xf numFmtId="0" fontId="8" fillId="7" borderId="0" xfId="0" applyFont="1" applyFill="1" applyAlignment="1">
      <alignment horizontal="center" vertical="top"/>
    </xf>
    <xf numFmtId="0" fontId="8" fillId="5" borderId="0" xfId="0" applyFont="1" applyFill="1" applyAlignment="1">
      <alignment vertical="top" wrapText="1"/>
    </xf>
    <xf numFmtId="0" fontId="8" fillId="3" borderId="0" xfId="0" applyFont="1" applyFill="1" applyAlignment="1">
      <alignment horizontal="center" vertical="top" wrapText="1"/>
    </xf>
    <xf numFmtId="9" fontId="8" fillId="0" borderId="0" xfId="0" applyNumberFormat="1" applyFont="1"/>
    <xf numFmtId="0" fontId="8" fillId="7" borderId="7" xfId="0" applyFont="1" applyFill="1" applyBorder="1" applyAlignment="1">
      <alignment horizontal="center" vertical="top"/>
    </xf>
    <xf numFmtId="0" fontId="8" fillId="5" borderId="7" xfId="0" applyFont="1" applyFill="1" applyBorder="1" applyAlignment="1">
      <alignment vertical="top" wrapText="1"/>
    </xf>
    <xf numFmtId="0" fontId="8" fillId="3" borderId="7" xfId="0" applyFont="1" applyFill="1" applyBorder="1" applyAlignment="1">
      <alignment horizontal="center" vertical="top" wrapText="1"/>
    </xf>
    <xf numFmtId="0" fontId="5" fillId="5" borderId="1" xfId="0" applyFont="1" applyFill="1" applyBorder="1" applyAlignment="1">
      <alignment vertical="center" wrapText="1"/>
    </xf>
    <xf numFmtId="0" fontId="6" fillId="0" borderId="2" xfId="0" applyFont="1" applyBorder="1"/>
    <xf numFmtId="0" fontId="1" fillId="2" borderId="0" xfId="0" applyFont="1" applyFill="1" applyAlignment="1">
      <alignment vertical="center"/>
    </xf>
    <xf numFmtId="0" fontId="0" fillId="0" borderId="0" xfId="0"/>
    <xf numFmtId="0" fontId="2" fillId="3" borderId="0" xfId="0" applyFont="1" applyFill="1" applyAlignment="1">
      <alignment vertical="center" wrapText="1"/>
    </xf>
    <xf numFmtId="0" fontId="3" fillId="4" borderId="0" xfId="0" applyFont="1" applyFill="1" applyAlignment="1">
      <alignment vertical="center"/>
    </xf>
    <xf numFmtId="0" fontId="7" fillId="2" borderId="0" xfId="0" applyFont="1" applyFill="1" applyAlignment="1">
      <alignment horizontal="center" vertical="center" wrapText="1"/>
    </xf>
    <xf numFmtId="0" fontId="8" fillId="0" borderId="0" xfId="0" applyFont="1" applyAlignment="1">
      <alignment wrapText="1"/>
    </xf>
    <xf numFmtId="0" fontId="9" fillId="3" borderId="0" xfId="0" applyFont="1" applyFill="1" applyAlignment="1">
      <alignment vertical="center" wrapText="1"/>
    </xf>
    <xf numFmtId="0" fontId="9" fillId="3" borderId="0" xfId="0" applyFont="1" applyFill="1" applyAlignment="1">
      <alignment wrapText="1"/>
    </xf>
    <xf numFmtId="0" fontId="3" fillId="4" borderId="0" xfId="0" applyFont="1" applyFill="1" applyAlignment="1">
      <alignment horizontal="center" vertical="center"/>
    </xf>
    <xf numFmtId="9" fontId="10" fillId="6" borderId="3" xfId="0" applyNumberFormat="1" applyFont="1" applyFill="1" applyBorder="1" applyAlignment="1">
      <alignment horizontal="center" vertical="center" wrapText="1"/>
    </xf>
    <xf numFmtId="0" fontId="6" fillId="0" borderId="4" xfId="0" applyFont="1" applyBorder="1"/>
    <xf numFmtId="0" fontId="6" fillId="0" borderId="5" xfId="0" applyFont="1" applyBorder="1"/>
    <xf numFmtId="0" fontId="8" fillId="8" borderId="3" xfId="0" applyFont="1" applyFill="1" applyBorder="1" applyAlignment="1">
      <alignment vertical="center" wrapText="1"/>
    </xf>
    <xf numFmtId="0" fontId="10" fillId="6" borderId="3" xfId="0" applyFont="1" applyFill="1" applyBorder="1" applyAlignment="1">
      <alignment horizontal="center" vertical="center" wrapText="1"/>
    </xf>
  </cellXfs>
  <cellStyles count="1">
    <cellStyle name="Normal" xfId="0" builtinId="0"/>
  </cellStyles>
  <dxfs count="13">
    <dxf>
      <font>
        <b/>
        <sz val="15"/>
        <color rgb="FF1F1F1F"/>
      </font>
      <fill>
        <patternFill patternType="solid">
          <fgColor rgb="FFE7E6E6"/>
          <bgColor rgb="FFE7E6E6"/>
        </patternFill>
      </fill>
    </dxf>
    <dxf>
      <font>
        <b/>
        <sz val="15"/>
        <color rgb="FFC00000"/>
      </font>
      <fill>
        <patternFill patternType="solid">
          <fgColor rgb="FFF4CCCC"/>
          <bgColor rgb="FFF4CCCC"/>
        </patternFill>
      </fill>
    </dxf>
    <dxf>
      <font>
        <b/>
        <sz val="15"/>
        <color rgb="FF9C5700"/>
      </font>
      <fill>
        <patternFill patternType="solid">
          <fgColor rgb="FFFCE4D6"/>
          <bgColor rgb="FFFCE4D6"/>
        </patternFill>
      </fill>
    </dxf>
    <dxf>
      <font>
        <b/>
        <sz val="15"/>
        <color rgb="FF375623"/>
      </font>
      <fill>
        <patternFill patternType="solid">
          <fgColor rgb="FFC6E0B4"/>
          <bgColor rgb="FFC6E0B4"/>
        </patternFill>
      </fill>
    </dxf>
    <dxf>
      <font>
        <color rgb="FF1F1F1F"/>
      </font>
      <fill>
        <patternFill patternType="solid">
          <fgColor rgb="FFF3F6F8"/>
          <bgColor rgb="FFF3F6F8"/>
        </patternFill>
      </fill>
    </dxf>
    <dxf>
      <font>
        <color rgb="FF1F1F1F"/>
      </font>
      <fill>
        <patternFill patternType="solid">
          <fgColor rgb="FFE7E6E6"/>
          <bgColor rgb="FFE7E6E6"/>
        </patternFill>
      </fill>
    </dxf>
    <dxf>
      <font>
        <b/>
        <color rgb="FF375623"/>
      </font>
      <fill>
        <patternFill patternType="solid">
          <fgColor rgb="FFC6E0B4"/>
          <bgColor rgb="FFC6E0B4"/>
        </patternFill>
      </fill>
    </dxf>
    <dxf>
      <font>
        <b/>
        <color rgb="FF375623"/>
      </font>
      <fill>
        <patternFill patternType="solid">
          <fgColor rgb="FFE2F0D9"/>
          <bgColor rgb="FFE2F0D9"/>
        </patternFill>
      </fill>
    </dxf>
    <dxf>
      <font>
        <b/>
        <color rgb="FF9C5700"/>
      </font>
      <fill>
        <patternFill patternType="solid">
          <fgColor rgb="FFFCE4D6"/>
          <bgColor rgb="FFFCE4D6"/>
        </patternFill>
      </fill>
    </dxf>
    <dxf>
      <font>
        <b/>
        <color rgb="FFC00000"/>
      </font>
      <fill>
        <patternFill patternType="solid">
          <fgColor rgb="FFF4CCCC"/>
          <bgColor rgb="FFF4CCCC"/>
        </patternFill>
      </fill>
    </dxf>
    <dxf>
      <fill>
        <patternFill patternType="solid">
          <fgColor theme="0"/>
          <bgColor theme="0"/>
        </patternFill>
      </fill>
    </dxf>
    <dxf>
      <fill>
        <patternFill patternType="solid">
          <fgColor rgb="FFC1E4F5"/>
          <bgColor rgb="FFC1E4F5"/>
        </patternFill>
      </fill>
    </dxf>
    <dxf>
      <fill>
        <patternFill patternType="solid">
          <fgColor theme="4"/>
          <bgColor theme="4"/>
        </patternFill>
      </fill>
    </dxf>
  </dxfs>
  <tableStyles count="1">
    <tableStyle name="DotNet_Assessment-style" pivot="0" count="3" xr9:uid="{00000000-0011-0000-FFFF-FFFF00000000}">
      <tableStyleElement type="headerRow" dxfId="12"/>
      <tableStyleElement type="firstRowStripe" dxfId="11"/>
      <tableStyleElement type="secondRowStripe" dxfId="1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customschemas.google.com/relationships/workbookmetadata" Target="metadata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11" Type="http://schemas.openxmlformats.org/officeDocument/2006/relationships/calcChain" Target="calcChain.xml"/><Relationship Id="rId10" Type="http://schemas.openxmlformats.org/officeDocument/2006/relationships/sharedStrings" Target="sharedStrings.xml"/><Relationship Id="rId9" Type="http://schemas.openxmlformats.org/officeDocument/2006/relationships/styles" Target="style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_1" displayName="Table_1" ref="A4:N64">
  <tableColumns count="14">
    <tableColumn id="1" xr3:uid="{00000000-0010-0000-0000-000001000000}" name="ID"/>
    <tableColumn id="2" xr3:uid="{00000000-0010-0000-0000-000002000000}" name="Area"/>
    <tableColumn id="3" xr3:uid="{00000000-0010-0000-0000-000003000000}" name="Skill Item"/>
    <tableColumn id="4" xr3:uid="{00000000-0010-0000-0000-000004000000}" name="What a clear Level-3 answer should demonstrate"/>
    <tableColumn id="5" xr3:uid="{00000000-0010-0000-0000-000005000000}" name="Expected: Software Engineer"/>
    <tableColumn id="6" xr3:uid="{00000000-0010-0000-0000-000006000000}" name="Expected: Technical Analyst"/>
    <tableColumn id="7" xr3:uid="{00000000-0010-0000-0000-000007000000}" name="Expected: Tech Lead / Architect"/>
    <tableColumn id="8" xr3:uid="{00000000-0010-0000-0000-000008000000}" name="Expected for Selected Role"/>
    <tableColumn id="9" xr3:uid="{00000000-0010-0000-0000-000009000000}" name="Self Rating"/>
    <tableColumn id="10" xr3:uid="{00000000-0010-0000-0000-00000A000000}" name="Resource Answer / Project Example"/>
    <tableColumn id="11" xr3:uid="{00000000-0010-0000-0000-00000B000000}" name="Assessed Rating"/>
    <tableColumn id="12" xr3:uid="{00000000-0010-0000-0000-00000C000000}" name="Assessor Comments"/>
    <tableColumn id="13" xr3:uid="{00000000-0010-0000-0000-00000D000000}" name="Gap"/>
    <tableColumn id="14" xr3:uid="{00000000-0010-0000-0000-00000E000000}" name="Assessment Result"/>
  </tableColumns>
  <tableStyleInfo name="DotNet_Assessment-style" showFirstColumn="1" showLastColumn="1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467886"/>
      </a:folHlink>
    </a:clrScheme>
    <a:fontScheme name="Sheets">
      <a:majorFont>
        <a:latin typeface="Carlito"/>
        <a:ea typeface="Carlito"/>
        <a:cs typeface="Carlito"/>
      </a:majorFont>
      <a:minorFont>
        <a:latin typeface="Carlito"/>
        <a:ea typeface="Carlito"/>
        <a:cs typeface="Carlito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H995"/>
  <sheetViews>
    <sheetView tabSelected="1" workbookViewId="0">
      <selection sqref="A1:H1"/>
    </sheetView>
  </sheetViews>
  <sheetFormatPr defaultColWidth="12.59765625" defaultRowHeight="15" customHeight="1"/>
  <cols>
    <col min="1" max="1" width="25" customWidth="1"/>
    <col min="2" max="2" width="22" customWidth="1"/>
    <col min="3" max="3" width="18" customWidth="1"/>
    <col min="4" max="4" width="23" customWidth="1"/>
    <col min="5" max="8" width="18" customWidth="1"/>
    <col min="9" max="26" width="8.59765625" customWidth="1"/>
  </cols>
  <sheetData>
    <row r="1" spans="1:8" ht="33.75" customHeight="1">
      <c r="A1" s="23" t="s">
        <v>0</v>
      </c>
      <c r="B1" s="24"/>
      <c r="C1" s="24"/>
      <c r="D1" s="24"/>
      <c r="E1" s="24"/>
      <c r="F1" s="24"/>
      <c r="G1" s="24"/>
      <c r="H1" s="24"/>
    </row>
    <row r="2" spans="1:8" ht="37.5" customHeight="1">
      <c r="A2" s="25" t="s">
        <v>1</v>
      </c>
      <c r="B2" s="24"/>
      <c r="C2" s="24"/>
      <c r="D2" s="24"/>
      <c r="E2" s="24"/>
      <c r="F2" s="24"/>
      <c r="G2" s="24"/>
      <c r="H2" s="24"/>
    </row>
    <row r="4" spans="1:8" ht="13.8">
      <c r="A4" s="26" t="s">
        <v>2</v>
      </c>
      <c r="B4" s="24"/>
      <c r="C4" s="24"/>
      <c r="D4" s="24"/>
      <c r="E4" s="24"/>
      <c r="F4" s="24"/>
      <c r="G4" s="24"/>
      <c r="H4" s="24"/>
    </row>
    <row r="5" spans="1:8" ht="13.8">
      <c r="A5" s="1" t="s">
        <v>3</v>
      </c>
      <c r="B5" s="21"/>
      <c r="C5" s="22"/>
      <c r="D5" s="1" t="s">
        <v>4</v>
      </c>
      <c r="E5" s="21"/>
      <c r="F5" s="22"/>
      <c r="G5" s="22"/>
      <c r="H5" s="22"/>
    </row>
    <row r="6" spans="1:8" ht="13.8">
      <c r="A6" s="1" t="s">
        <v>5</v>
      </c>
      <c r="B6" s="21"/>
      <c r="C6" s="22"/>
      <c r="D6" s="1" t="s">
        <v>6</v>
      </c>
      <c r="E6" s="21"/>
      <c r="F6" s="22"/>
      <c r="G6" s="22"/>
      <c r="H6" s="22"/>
    </row>
    <row r="7" spans="1:8" ht="13.8">
      <c r="A7" s="1" t="s">
        <v>7</v>
      </c>
      <c r="B7" s="21"/>
      <c r="C7" s="22"/>
      <c r="D7" s="1" t="s">
        <v>8</v>
      </c>
      <c r="E7" s="21"/>
      <c r="F7" s="22"/>
      <c r="G7" s="22"/>
      <c r="H7" s="22"/>
    </row>
    <row r="8" spans="1:8" ht="13.8">
      <c r="A8" s="1" t="s">
        <v>9</v>
      </c>
      <c r="B8" s="21"/>
      <c r="C8" s="22"/>
      <c r="D8" s="1" t="s">
        <v>10</v>
      </c>
      <c r="E8" s="21"/>
      <c r="F8" s="22"/>
      <c r="G8" s="22"/>
      <c r="H8" s="22"/>
    </row>
    <row r="9" spans="1:8" ht="13.8">
      <c r="A9" s="1" t="s">
        <v>12</v>
      </c>
      <c r="B9" s="21"/>
      <c r="C9" s="22"/>
      <c r="D9" s="1" t="s">
        <v>13</v>
      </c>
      <c r="E9" s="21"/>
      <c r="F9" s="22"/>
      <c r="G9" s="22"/>
      <c r="H9" s="22"/>
    </row>
    <row r="11" spans="1:8" ht="13.8">
      <c r="A11" s="26" t="s">
        <v>14</v>
      </c>
      <c r="B11" s="24"/>
      <c r="C11" s="24"/>
      <c r="D11" s="24"/>
      <c r="E11" s="24"/>
      <c r="F11" s="24"/>
      <c r="G11" s="24"/>
      <c r="H11" s="24"/>
    </row>
    <row r="12" spans="1:8" ht="13.8">
      <c r="A12" s="2" t="s">
        <v>15</v>
      </c>
      <c r="B12" s="2" t="s">
        <v>16</v>
      </c>
      <c r="C12" s="27" t="s">
        <v>17</v>
      </c>
      <c r="D12" s="24"/>
      <c r="E12" s="24"/>
      <c r="F12" s="24"/>
      <c r="G12" s="24"/>
      <c r="H12" s="24"/>
    </row>
    <row r="13" spans="1:8" ht="13.8">
      <c r="A13" s="3">
        <v>0</v>
      </c>
      <c r="B13" s="3" t="s">
        <v>18</v>
      </c>
      <c r="C13" s="28" t="s">
        <v>19</v>
      </c>
      <c r="D13" s="24"/>
      <c r="E13" s="24"/>
      <c r="F13" s="24"/>
      <c r="G13" s="24"/>
      <c r="H13" s="24"/>
    </row>
    <row r="14" spans="1:8" ht="13.8">
      <c r="A14" s="3">
        <v>1</v>
      </c>
      <c r="B14" s="3" t="s">
        <v>20</v>
      </c>
      <c r="C14" s="28" t="s">
        <v>21</v>
      </c>
      <c r="D14" s="24"/>
      <c r="E14" s="24"/>
      <c r="F14" s="24"/>
      <c r="G14" s="24"/>
      <c r="H14" s="24"/>
    </row>
    <row r="15" spans="1:8" ht="13.8">
      <c r="A15" s="3">
        <v>2</v>
      </c>
      <c r="B15" s="3" t="s">
        <v>22</v>
      </c>
      <c r="C15" s="28" t="s">
        <v>23</v>
      </c>
      <c r="D15" s="24"/>
      <c r="E15" s="24"/>
      <c r="F15" s="24"/>
      <c r="G15" s="24"/>
      <c r="H15" s="24"/>
    </row>
    <row r="16" spans="1:8" ht="13.8">
      <c r="A16" s="3">
        <v>3</v>
      </c>
      <c r="B16" s="3" t="s">
        <v>24</v>
      </c>
      <c r="C16" s="28" t="s">
        <v>25</v>
      </c>
      <c r="D16" s="24"/>
      <c r="E16" s="24"/>
      <c r="F16" s="24"/>
      <c r="G16" s="24"/>
      <c r="H16" s="24"/>
    </row>
    <row r="17" spans="1:8" ht="13.8">
      <c r="A17" s="3">
        <v>4</v>
      </c>
      <c r="B17" s="3" t="s">
        <v>26</v>
      </c>
      <c r="C17" s="28" t="s">
        <v>28</v>
      </c>
      <c r="D17" s="24"/>
      <c r="E17" s="24"/>
      <c r="F17" s="24"/>
      <c r="G17" s="24"/>
      <c r="H17" s="24"/>
    </row>
    <row r="19" spans="1:8" ht="13.8">
      <c r="A19" s="26" t="s">
        <v>29</v>
      </c>
      <c r="B19" s="24"/>
      <c r="C19" s="24"/>
      <c r="D19" s="24"/>
      <c r="E19" s="24"/>
      <c r="F19" s="24"/>
      <c r="G19" s="24"/>
      <c r="H19" s="24"/>
    </row>
    <row r="20" spans="1:8" ht="13.8">
      <c r="A20" s="2" t="s">
        <v>30</v>
      </c>
      <c r="B20" s="27" t="s">
        <v>32</v>
      </c>
      <c r="C20" s="24"/>
      <c r="D20" s="24"/>
      <c r="E20" s="24"/>
      <c r="F20" s="24"/>
      <c r="G20" s="24"/>
      <c r="H20" s="24"/>
    </row>
    <row r="21" spans="1:8" ht="15.75" customHeight="1">
      <c r="A21" s="3" t="s">
        <v>34</v>
      </c>
      <c r="B21" s="28" t="s">
        <v>35</v>
      </c>
      <c r="C21" s="24"/>
      <c r="D21" s="24"/>
      <c r="E21" s="24"/>
      <c r="F21" s="24"/>
      <c r="G21" s="24"/>
      <c r="H21" s="24"/>
    </row>
    <row r="22" spans="1:8" ht="15.75" customHeight="1">
      <c r="A22" s="3" t="s">
        <v>36</v>
      </c>
      <c r="B22" s="28" t="s">
        <v>37</v>
      </c>
      <c r="C22" s="24"/>
      <c r="D22" s="24"/>
      <c r="E22" s="24"/>
      <c r="F22" s="24"/>
      <c r="G22" s="24"/>
      <c r="H22" s="24"/>
    </row>
    <row r="23" spans="1:8" ht="15.75" customHeight="1">
      <c r="A23" s="3" t="s">
        <v>38</v>
      </c>
      <c r="B23" s="28" t="s">
        <v>39</v>
      </c>
      <c r="C23" s="24"/>
      <c r="D23" s="24"/>
      <c r="E23" s="24"/>
      <c r="F23" s="24"/>
      <c r="G23" s="24"/>
      <c r="H23" s="24"/>
    </row>
    <row r="24" spans="1:8" ht="15.75" customHeight="1">
      <c r="A24" s="3" t="s">
        <v>40</v>
      </c>
      <c r="B24" s="28" t="s">
        <v>42</v>
      </c>
      <c r="C24" s="24"/>
      <c r="D24" s="24"/>
      <c r="E24" s="24"/>
      <c r="F24" s="24"/>
      <c r="G24" s="24"/>
      <c r="H24" s="24"/>
    </row>
    <row r="25" spans="1:8" ht="15.75" customHeight="1"/>
    <row r="26" spans="1:8" ht="15.75" customHeight="1"/>
    <row r="27" spans="1:8" ht="15.75" customHeight="1"/>
    <row r="28" spans="1:8" ht="15.75" customHeight="1"/>
    <row r="29" spans="1:8" ht="15.75" customHeight="1"/>
    <row r="30" spans="1:8" ht="15.75" customHeight="1"/>
    <row r="31" spans="1:8" ht="15.75" customHeight="1"/>
    <row r="32" spans="1:8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26">
    <mergeCell ref="C12:H12"/>
    <mergeCell ref="C13:H13"/>
    <mergeCell ref="B22:H22"/>
    <mergeCell ref="B23:H23"/>
    <mergeCell ref="B24:H24"/>
    <mergeCell ref="C14:H14"/>
    <mergeCell ref="C15:H15"/>
    <mergeCell ref="C16:H16"/>
    <mergeCell ref="C17:H17"/>
    <mergeCell ref="A19:H19"/>
    <mergeCell ref="B20:H20"/>
    <mergeCell ref="B21:H21"/>
    <mergeCell ref="B8:C8"/>
    <mergeCell ref="E8:H8"/>
    <mergeCell ref="B9:C9"/>
    <mergeCell ref="E9:H9"/>
    <mergeCell ref="A11:H11"/>
    <mergeCell ref="E6:H6"/>
    <mergeCell ref="E7:H7"/>
    <mergeCell ref="A1:H1"/>
    <mergeCell ref="A2:H2"/>
    <mergeCell ref="A4:H4"/>
    <mergeCell ref="B5:C5"/>
    <mergeCell ref="E5:H5"/>
    <mergeCell ref="B6:C6"/>
    <mergeCell ref="B7:C7"/>
  </mergeCells>
  <dataValidations count="1">
    <dataValidation type="list" allowBlank="1" sqref="B8" xr:uid="{00000000-0002-0000-0000-000000000000}">
      <formula1>"Software Engineer,Technical Analyst / Senior Engineer,Tech Lead / Architect"</formula1>
    </dataValidation>
  </dataValidations>
  <pageMargins left="0.7" right="0.7" top="0.75" bottom="0.75" header="0" footer="0"/>
  <pageSetup orientation="landscape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N1000"/>
  <sheetViews>
    <sheetView workbookViewId="0"/>
  </sheetViews>
  <sheetFormatPr defaultColWidth="12.59765625" defaultRowHeight="15" customHeight="1"/>
  <cols>
    <col min="1" max="1" width="9" customWidth="1"/>
    <col min="2" max="2" width="8" customWidth="1"/>
    <col min="3" max="3" width="42" customWidth="1"/>
    <col min="4" max="4" width="44" customWidth="1"/>
    <col min="5" max="7" width="16" customWidth="1"/>
    <col min="8" max="9" width="15" customWidth="1"/>
    <col min="10" max="10" width="48" customWidth="1"/>
    <col min="11" max="11" width="15" customWidth="1"/>
    <col min="12" max="12" width="42" customWidth="1"/>
    <col min="13" max="13" width="11" customWidth="1"/>
    <col min="14" max="14" width="18" customWidth="1"/>
    <col min="15" max="26" width="8.59765625" customWidth="1"/>
  </cols>
  <sheetData>
    <row r="1" spans="1:14" ht="33.75" customHeight="1">
      <c r="A1" s="23" t="s">
        <v>41</v>
      </c>
      <c r="B1" s="24"/>
      <c r="C1" s="24"/>
      <c r="D1" s="24"/>
      <c r="E1" s="24"/>
      <c r="F1" s="24"/>
      <c r="G1" s="24"/>
      <c r="H1" s="24"/>
      <c r="I1" s="24"/>
      <c r="J1" s="24"/>
      <c r="K1" s="24"/>
      <c r="L1" s="24"/>
      <c r="M1" s="24"/>
      <c r="N1" s="24"/>
    </row>
    <row r="2" spans="1:14" ht="27.75" customHeight="1">
      <c r="A2" s="29" t="str">
        <f>"Resource: "&amp;Instructions!B5&amp;"   |   Employee ID: "&amp;Instructions!E5&amp;"   |   Assessment Role: "&amp;Instructions!B8&amp;"   |   Assessor: "&amp;Instructions!E8</f>
        <v xml:space="preserve">Resource:    |   Employee ID:    |   Assessment Role:    |   Assessor: </v>
      </c>
      <c r="B2" s="24"/>
      <c r="C2" s="24"/>
      <c r="D2" s="24"/>
      <c r="E2" s="24"/>
      <c r="F2" s="24"/>
      <c r="G2" s="24"/>
      <c r="H2" s="24"/>
      <c r="I2" s="24"/>
      <c r="J2" s="24"/>
      <c r="K2" s="24"/>
      <c r="L2" s="24"/>
      <c r="M2" s="24"/>
      <c r="N2" s="24"/>
    </row>
    <row r="4" spans="1:14" ht="57.75" customHeight="1">
      <c r="A4" s="2" t="s">
        <v>43</v>
      </c>
      <c r="B4" s="2" t="s">
        <v>44</v>
      </c>
      <c r="C4" s="2" t="s">
        <v>45</v>
      </c>
      <c r="D4" s="2" t="s">
        <v>46</v>
      </c>
      <c r="E4" s="2" t="s">
        <v>47</v>
      </c>
      <c r="F4" s="2" t="s">
        <v>48</v>
      </c>
      <c r="G4" s="2" t="s">
        <v>49</v>
      </c>
      <c r="H4" s="2" t="s">
        <v>50</v>
      </c>
      <c r="I4" s="2" t="s">
        <v>51</v>
      </c>
      <c r="J4" s="2" t="s">
        <v>52</v>
      </c>
      <c r="K4" s="2" t="s">
        <v>53</v>
      </c>
      <c r="L4" s="2" t="s">
        <v>54</v>
      </c>
      <c r="M4" s="2" t="s">
        <v>55</v>
      </c>
      <c r="N4" s="2" t="s">
        <v>56</v>
      </c>
    </row>
    <row r="5" spans="1:14" ht="48" customHeight="1">
      <c r="A5" s="4" t="s">
        <v>57</v>
      </c>
      <c r="B5" s="4" t="s">
        <v>58</v>
      </c>
      <c r="C5" s="5" t="s">
        <v>59</v>
      </c>
      <c r="D5" s="5" t="s">
        <v>60</v>
      </c>
      <c r="E5" s="6">
        <v>3</v>
      </c>
      <c r="F5" s="6">
        <v>3</v>
      </c>
      <c r="G5" s="6">
        <v>3</v>
      </c>
      <c r="H5" s="6" t="str">
        <f>IF(Instructions!$B$8="Software Engineer",E5,IF(Instructions!$B$8="Technical Analyst / Senior Engineer",F5,IF(Instructions!$B$8="Tech Lead / Architect",G5,"")))</f>
        <v/>
      </c>
      <c r="I5" s="7"/>
      <c r="J5" s="8"/>
      <c r="K5" s="9"/>
      <c r="L5" s="9"/>
      <c r="M5" s="6" t="str">
        <f t="shared" ref="M5:M64" si="0">IF(OR(H5="",H5=0,K5=""),"",K5-H5)</f>
        <v/>
      </c>
      <c r="N5" s="6" t="str">
        <f t="shared" ref="N5:N64" si="1">IF(H5="","SELECT ROLE",IF(H5=0,"NOT REQUIRED",IF(K5="","NOT ASSESSED",IF(M5&lt;=-2,"CRITICAL",IF(M5=-1,"GAP",IF(M5=0,"AT BAR","STRENGTH"))))))</f>
        <v>SELECT ROLE</v>
      </c>
    </row>
    <row r="6" spans="1:14" ht="48" customHeight="1">
      <c r="A6" s="4" t="s">
        <v>73</v>
      </c>
      <c r="B6" s="4" t="s">
        <v>58</v>
      </c>
      <c r="C6" s="5" t="s">
        <v>74</v>
      </c>
      <c r="D6" s="5" t="s">
        <v>75</v>
      </c>
      <c r="E6" s="6">
        <v>3</v>
      </c>
      <c r="F6" s="6">
        <v>3</v>
      </c>
      <c r="G6" s="6">
        <v>3</v>
      </c>
      <c r="H6" s="6" t="str">
        <f>IF(Instructions!$B$8="Software Engineer",E6,IF(Instructions!$B$8="Technical Analyst / Senior Engineer",F6,IF(Instructions!$B$8="Tech Lead / Architect",G6,"")))</f>
        <v/>
      </c>
      <c r="I6" s="14"/>
      <c r="J6" s="15"/>
      <c r="K6" s="16"/>
      <c r="L6" s="16"/>
      <c r="M6" s="6" t="str">
        <f t="shared" si="0"/>
        <v/>
      </c>
      <c r="N6" s="6" t="str">
        <f t="shared" si="1"/>
        <v>SELECT ROLE</v>
      </c>
    </row>
    <row r="7" spans="1:14" ht="48" customHeight="1">
      <c r="A7" s="4" t="s">
        <v>76</v>
      </c>
      <c r="B7" s="4" t="s">
        <v>58</v>
      </c>
      <c r="C7" s="5" t="s">
        <v>77</v>
      </c>
      <c r="D7" s="5" t="s">
        <v>78</v>
      </c>
      <c r="E7" s="6">
        <v>2</v>
      </c>
      <c r="F7" s="6">
        <v>3</v>
      </c>
      <c r="G7" s="6">
        <v>3</v>
      </c>
      <c r="H7" s="6" t="str">
        <f>IF(Instructions!$B$8="Software Engineer",E7,IF(Instructions!$B$8="Technical Analyst / Senior Engineer",F7,IF(Instructions!$B$8="Tech Lead / Architect",G7,"")))</f>
        <v/>
      </c>
      <c r="I7" s="14"/>
      <c r="J7" s="15"/>
      <c r="K7" s="16"/>
      <c r="L7" s="16"/>
      <c r="M7" s="6" t="str">
        <f t="shared" si="0"/>
        <v/>
      </c>
      <c r="N7" s="6" t="str">
        <f t="shared" si="1"/>
        <v>SELECT ROLE</v>
      </c>
    </row>
    <row r="8" spans="1:14" ht="48" customHeight="1">
      <c r="A8" s="4" t="s">
        <v>81</v>
      </c>
      <c r="B8" s="4" t="s">
        <v>58</v>
      </c>
      <c r="C8" s="5" t="s">
        <v>82</v>
      </c>
      <c r="D8" s="5" t="s">
        <v>83</v>
      </c>
      <c r="E8" s="6">
        <v>2</v>
      </c>
      <c r="F8" s="6">
        <v>3</v>
      </c>
      <c r="G8" s="6">
        <v>3</v>
      </c>
      <c r="H8" s="6" t="str">
        <f>IF(Instructions!$B$8="Software Engineer",E8,IF(Instructions!$B$8="Technical Analyst / Senior Engineer",F8,IF(Instructions!$B$8="Tech Lead / Architect",G8,"")))</f>
        <v/>
      </c>
      <c r="I8" s="14"/>
      <c r="J8" s="15"/>
      <c r="K8" s="16"/>
      <c r="L8" s="16"/>
      <c r="M8" s="6" t="str">
        <f t="shared" si="0"/>
        <v/>
      </c>
      <c r="N8" s="6" t="str">
        <f t="shared" si="1"/>
        <v>SELECT ROLE</v>
      </c>
    </row>
    <row r="9" spans="1:14" ht="48" customHeight="1">
      <c r="A9" s="4" t="s">
        <v>84</v>
      </c>
      <c r="B9" s="4" t="s">
        <v>58</v>
      </c>
      <c r="C9" s="5" t="s">
        <v>85</v>
      </c>
      <c r="D9" s="5" t="s">
        <v>86</v>
      </c>
      <c r="E9" s="6">
        <v>2</v>
      </c>
      <c r="F9" s="6">
        <v>3</v>
      </c>
      <c r="G9" s="6">
        <v>4</v>
      </c>
      <c r="H9" s="6" t="str">
        <f>IF(Instructions!$B$8="Software Engineer",E9,IF(Instructions!$B$8="Technical Analyst / Senior Engineer",F9,IF(Instructions!$B$8="Tech Lead / Architect",G9,"")))</f>
        <v/>
      </c>
      <c r="I9" s="14"/>
      <c r="J9" s="15"/>
      <c r="K9" s="16"/>
      <c r="L9" s="16"/>
      <c r="M9" s="6" t="str">
        <f t="shared" si="0"/>
        <v/>
      </c>
      <c r="N9" s="6" t="str">
        <f t="shared" si="1"/>
        <v>SELECT ROLE</v>
      </c>
    </row>
    <row r="10" spans="1:14" ht="48" customHeight="1">
      <c r="A10" s="4" t="s">
        <v>89</v>
      </c>
      <c r="B10" s="4" t="s">
        <v>58</v>
      </c>
      <c r="C10" s="5" t="s">
        <v>90</v>
      </c>
      <c r="D10" s="5" t="s">
        <v>91</v>
      </c>
      <c r="E10" s="6">
        <v>2</v>
      </c>
      <c r="F10" s="6">
        <v>3</v>
      </c>
      <c r="G10" s="6">
        <v>4</v>
      </c>
      <c r="H10" s="6" t="str">
        <f>IF(Instructions!$B$8="Software Engineer",E10,IF(Instructions!$B$8="Technical Analyst / Senior Engineer",F10,IF(Instructions!$B$8="Tech Lead / Architect",G10,"")))</f>
        <v/>
      </c>
      <c r="I10" s="14"/>
      <c r="J10" s="15"/>
      <c r="K10" s="16"/>
      <c r="L10" s="16"/>
      <c r="M10" s="6" t="str">
        <f t="shared" si="0"/>
        <v/>
      </c>
      <c r="N10" s="6" t="str">
        <f t="shared" si="1"/>
        <v>SELECT ROLE</v>
      </c>
    </row>
    <row r="11" spans="1:14" ht="48" customHeight="1">
      <c r="A11" s="4" t="s">
        <v>94</v>
      </c>
      <c r="B11" s="4" t="s">
        <v>58</v>
      </c>
      <c r="C11" s="5" t="s">
        <v>95</v>
      </c>
      <c r="D11" s="5" t="s">
        <v>96</v>
      </c>
      <c r="E11" s="6">
        <v>2</v>
      </c>
      <c r="F11" s="6">
        <v>3</v>
      </c>
      <c r="G11" s="6">
        <v>3</v>
      </c>
      <c r="H11" s="6" t="str">
        <f>IF(Instructions!$B$8="Software Engineer",E11,IF(Instructions!$B$8="Technical Analyst / Senior Engineer",F11,IF(Instructions!$B$8="Tech Lead / Architect",G11,"")))</f>
        <v/>
      </c>
      <c r="I11" s="14"/>
      <c r="J11" s="15"/>
      <c r="K11" s="16"/>
      <c r="L11" s="16"/>
      <c r="M11" s="6" t="str">
        <f t="shared" si="0"/>
        <v/>
      </c>
      <c r="N11" s="6" t="str">
        <f t="shared" si="1"/>
        <v>SELECT ROLE</v>
      </c>
    </row>
    <row r="12" spans="1:14" ht="48" customHeight="1">
      <c r="A12" s="4" t="s">
        <v>97</v>
      </c>
      <c r="B12" s="4" t="s">
        <v>58</v>
      </c>
      <c r="C12" s="5" t="s">
        <v>98</v>
      </c>
      <c r="D12" s="5" t="s">
        <v>99</v>
      </c>
      <c r="E12" s="6">
        <v>1</v>
      </c>
      <c r="F12" s="6">
        <v>2</v>
      </c>
      <c r="G12" s="6">
        <v>3</v>
      </c>
      <c r="H12" s="6" t="str">
        <f>IF(Instructions!$B$8="Software Engineer",E12,IF(Instructions!$B$8="Technical Analyst / Senior Engineer",F12,IF(Instructions!$B$8="Tech Lead / Architect",G12,"")))</f>
        <v/>
      </c>
      <c r="I12" s="14"/>
      <c r="J12" s="15"/>
      <c r="K12" s="16"/>
      <c r="L12" s="16"/>
      <c r="M12" s="6" t="str">
        <f t="shared" si="0"/>
        <v/>
      </c>
      <c r="N12" s="6" t="str">
        <f t="shared" si="1"/>
        <v>SELECT ROLE</v>
      </c>
    </row>
    <row r="13" spans="1:14" ht="48" customHeight="1">
      <c r="A13" s="4" t="s">
        <v>102</v>
      </c>
      <c r="B13" s="4" t="s">
        <v>58</v>
      </c>
      <c r="C13" s="5" t="s">
        <v>103</v>
      </c>
      <c r="D13" s="5" t="s">
        <v>104</v>
      </c>
      <c r="E13" s="6">
        <v>2</v>
      </c>
      <c r="F13" s="6">
        <v>3</v>
      </c>
      <c r="G13" s="6">
        <v>3</v>
      </c>
      <c r="H13" s="6" t="str">
        <f>IF(Instructions!$B$8="Software Engineer",E13,IF(Instructions!$B$8="Technical Analyst / Senior Engineer",F13,IF(Instructions!$B$8="Tech Lead / Architect",G13,"")))</f>
        <v/>
      </c>
      <c r="I13" s="14"/>
      <c r="J13" s="15"/>
      <c r="K13" s="16"/>
      <c r="L13" s="16"/>
      <c r="M13" s="6" t="str">
        <f t="shared" si="0"/>
        <v/>
      </c>
      <c r="N13" s="6" t="str">
        <f t="shared" si="1"/>
        <v>SELECT ROLE</v>
      </c>
    </row>
    <row r="14" spans="1:14" ht="48" customHeight="1">
      <c r="A14" s="4" t="s">
        <v>107</v>
      </c>
      <c r="B14" s="4" t="s">
        <v>58</v>
      </c>
      <c r="C14" s="5" t="s">
        <v>108</v>
      </c>
      <c r="D14" s="5" t="s">
        <v>109</v>
      </c>
      <c r="E14" s="6">
        <v>1</v>
      </c>
      <c r="F14" s="6">
        <v>2</v>
      </c>
      <c r="G14" s="6">
        <v>3</v>
      </c>
      <c r="H14" s="6" t="str">
        <f>IF(Instructions!$B$8="Software Engineer",E14,IF(Instructions!$B$8="Technical Analyst / Senior Engineer",F14,IF(Instructions!$B$8="Tech Lead / Architect",G14,"")))</f>
        <v/>
      </c>
      <c r="I14" s="14"/>
      <c r="J14" s="15"/>
      <c r="K14" s="16"/>
      <c r="L14" s="16"/>
      <c r="M14" s="6" t="str">
        <f t="shared" si="0"/>
        <v/>
      </c>
      <c r="N14" s="6" t="str">
        <f t="shared" si="1"/>
        <v>SELECT ROLE</v>
      </c>
    </row>
    <row r="15" spans="1:14" ht="48" customHeight="1">
      <c r="A15" s="4" t="s">
        <v>110</v>
      </c>
      <c r="B15" s="4" t="s">
        <v>58</v>
      </c>
      <c r="C15" s="5" t="s">
        <v>111</v>
      </c>
      <c r="D15" s="5" t="s">
        <v>112</v>
      </c>
      <c r="E15" s="6">
        <v>1</v>
      </c>
      <c r="F15" s="6">
        <v>2</v>
      </c>
      <c r="G15" s="6">
        <v>3</v>
      </c>
      <c r="H15" s="6" t="str">
        <f>IF(Instructions!$B$8="Software Engineer",E15,IF(Instructions!$B$8="Technical Analyst / Senior Engineer",F15,IF(Instructions!$B$8="Tech Lead / Architect",G15,"")))</f>
        <v/>
      </c>
      <c r="I15" s="14"/>
      <c r="J15" s="15"/>
      <c r="K15" s="16"/>
      <c r="L15" s="16"/>
      <c r="M15" s="6" t="str">
        <f t="shared" si="0"/>
        <v/>
      </c>
      <c r="N15" s="6" t="str">
        <f t="shared" si="1"/>
        <v>SELECT ROLE</v>
      </c>
    </row>
    <row r="16" spans="1:14" ht="48" customHeight="1">
      <c r="A16" s="4" t="s">
        <v>115</v>
      </c>
      <c r="B16" s="4" t="s">
        <v>58</v>
      </c>
      <c r="C16" s="5" t="s">
        <v>116</v>
      </c>
      <c r="D16" s="5" t="s">
        <v>117</v>
      </c>
      <c r="E16" s="6">
        <v>1</v>
      </c>
      <c r="F16" s="6">
        <v>2</v>
      </c>
      <c r="G16" s="6">
        <v>3</v>
      </c>
      <c r="H16" s="6" t="str">
        <f>IF(Instructions!$B$8="Software Engineer",E16,IF(Instructions!$B$8="Technical Analyst / Senior Engineer",F16,IF(Instructions!$B$8="Tech Lead / Architect",G16,"")))</f>
        <v/>
      </c>
      <c r="I16" s="14"/>
      <c r="J16" s="15"/>
      <c r="K16" s="16"/>
      <c r="L16" s="16"/>
      <c r="M16" s="6" t="str">
        <f t="shared" si="0"/>
        <v/>
      </c>
      <c r="N16" s="6" t="str">
        <f t="shared" si="1"/>
        <v>SELECT ROLE</v>
      </c>
    </row>
    <row r="17" spans="1:14" ht="48" customHeight="1">
      <c r="A17" s="4" t="s">
        <v>118</v>
      </c>
      <c r="B17" s="4" t="s">
        <v>58</v>
      </c>
      <c r="C17" s="5" t="s">
        <v>119</v>
      </c>
      <c r="D17" s="5" t="s">
        <v>120</v>
      </c>
      <c r="E17" s="6">
        <v>1</v>
      </c>
      <c r="F17" s="6">
        <v>2</v>
      </c>
      <c r="G17" s="6">
        <v>3</v>
      </c>
      <c r="H17" s="6" t="str">
        <f>IF(Instructions!$B$8="Software Engineer",E17,IF(Instructions!$B$8="Technical Analyst / Senior Engineer",F17,IF(Instructions!$B$8="Tech Lead / Architect",G17,"")))</f>
        <v/>
      </c>
      <c r="I17" s="14"/>
      <c r="J17" s="15"/>
      <c r="K17" s="16"/>
      <c r="L17" s="16"/>
      <c r="M17" s="6" t="str">
        <f t="shared" si="0"/>
        <v/>
      </c>
      <c r="N17" s="6" t="str">
        <f t="shared" si="1"/>
        <v>SELECT ROLE</v>
      </c>
    </row>
    <row r="18" spans="1:14" ht="48" customHeight="1">
      <c r="A18" s="4" t="s">
        <v>121</v>
      </c>
      <c r="B18" s="4" t="s">
        <v>58</v>
      </c>
      <c r="C18" s="5" t="s">
        <v>122</v>
      </c>
      <c r="D18" s="5" t="s">
        <v>123</v>
      </c>
      <c r="E18" s="6">
        <v>2</v>
      </c>
      <c r="F18" s="6">
        <v>3</v>
      </c>
      <c r="G18" s="6">
        <v>3</v>
      </c>
      <c r="H18" s="6" t="str">
        <f>IF(Instructions!$B$8="Software Engineer",E18,IF(Instructions!$B$8="Technical Analyst / Senior Engineer",F18,IF(Instructions!$B$8="Tech Lead / Architect",G18,"")))</f>
        <v/>
      </c>
      <c r="I18" s="14"/>
      <c r="J18" s="15"/>
      <c r="K18" s="16"/>
      <c r="L18" s="16"/>
      <c r="M18" s="6" t="str">
        <f t="shared" si="0"/>
        <v/>
      </c>
      <c r="N18" s="6" t="str">
        <f t="shared" si="1"/>
        <v>SELECT ROLE</v>
      </c>
    </row>
    <row r="19" spans="1:14" ht="48" customHeight="1">
      <c r="A19" s="4" t="s">
        <v>124</v>
      </c>
      <c r="B19" s="4" t="s">
        <v>79</v>
      </c>
      <c r="C19" s="5" t="s">
        <v>125</v>
      </c>
      <c r="D19" s="5" t="s">
        <v>126</v>
      </c>
      <c r="E19" s="6">
        <v>2</v>
      </c>
      <c r="F19" s="6">
        <v>3</v>
      </c>
      <c r="G19" s="6">
        <v>4</v>
      </c>
      <c r="H19" s="6" t="str">
        <f>IF(Instructions!$B$8="Software Engineer",E19,IF(Instructions!$B$8="Technical Analyst / Senior Engineer",F19,IF(Instructions!$B$8="Tech Lead / Architect",G19,"")))</f>
        <v/>
      </c>
      <c r="I19" s="14"/>
      <c r="J19" s="15"/>
      <c r="K19" s="16"/>
      <c r="L19" s="16"/>
      <c r="M19" s="6" t="str">
        <f t="shared" si="0"/>
        <v/>
      </c>
      <c r="N19" s="6" t="str">
        <f t="shared" si="1"/>
        <v>SELECT ROLE</v>
      </c>
    </row>
    <row r="20" spans="1:14" ht="48" customHeight="1">
      <c r="A20" s="4" t="s">
        <v>127</v>
      </c>
      <c r="B20" s="4" t="s">
        <v>79</v>
      </c>
      <c r="C20" s="5" t="s">
        <v>128</v>
      </c>
      <c r="D20" s="5" t="s">
        <v>129</v>
      </c>
      <c r="E20" s="6">
        <v>2</v>
      </c>
      <c r="F20" s="6">
        <v>3</v>
      </c>
      <c r="G20" s="6">
        <v>4</v>
      </c>
      <c r="H20" s="6" t="str">
        <f>IF(Instructions!$B$8="Software Engineer",E20,IF(Instructions!$B$8="Technical Analyst / Senior Engineer",F20,IF(Instructions!$B$8="Tech Lead / Architect",G20,"")))</f>
        <v/>
      </c>
      <c r="I20" s="14"/>
      <c r="J20" s="15"/>
      <c r="K20" s="16"/>
      <c r="L20" s="16"/>
      <c r="M20" s="6" t="str">
        <f t="shared" si="0"/>
        <v/>
      </c>
      <c r="N20" s="6" t="str">
        <f t="shared" si="1"/>
        <v>SELECT ROLE</v>
      </c>
    </row>
    <row r="21" spans="1:14" ht="48" customHeight="1">
      <c r="A21" s="4" t="s">
        <v>130</v>
      </c>
      <c r="B21" s="4" t="s">
        <v>79</v>
      </c>
      <c r="C21" s="5" t="s">
        <v>131</v>
      </c>
      <c r="D21" s="5" t="s">
        <v>132</v>
      </c>
      <c r="E21" s="6">
        <v>3</v>
      </c>
      <c r="F21" s="6">
        <v>3</v>
      </c>
      <c r="G21" s="6">
        <v>4</v>
      </c>
      <c r="H21" s="6" t="str">
        <f>IF(Instructions!$B$8="Software Engineer",E21,IF(Instructions!$B$8="Technical Analyst / Senior Engineer",F21,IF(Instructions!$B$8="Tech Lead / Architect",G21,"")))</f>
        <v/>
      </c>
      <c r="I21" s="14"/>
      <c r="J21" s="15"/>
      <c r="K21" s="16"/>
      <c r="L21" s="16"/>
      <c r="M21" s="6" t="str">
        <f t="shared" si="0"/>
        <v/>
      </c>
      <c r="N21" s="6" t="str">
        <f t="shared" si="1"/>
        <v>SELECT ROLE</v>
      </c>
    </row>
    <row r="22" spans="1:14" ht="48" customHeight="1">
      <c r="A22" s="4" t="s">
        <v>133</v>
      </c>
      <c r="B22" s="4" t="s">
        <v>79</v>
      </c>
      <c r="C22" s="5" t="s">
        <v>134</v>
      </c>
      <c r="D22" s="5" t="s">
        <v>135</v>
      </c>
      <c r="E22" s="6">
        <v>2</v>
      </c>
      <c r="F22" s="6">
        <v>3</v>
      </c>
      <c r="G22" s="6">
        <v>3</v>
      </c>
      <c r="H22" s="6" t="str">
        <f>IF(Instructions!$B$8="Software Engineer",E22,IF(Instructions!$B$8="Technical Analyst / Senior Engineer",F22,IF(Instructions!$B$8="Tech Lead / Architect",G22,"")))</f>
        <v/>
      </c>
      <c r="I22" s="14"/>
      <c r="J22" s="15"/>
      <c r="K22" s="16"/>
      <c r="L22" s="16"/>
      <c r="M22" s="6" t="str">
        <f t="shared" si="0"/>
        <v/>
      </c>
      <c r="N22" s="6" t="str">
        <f t="shared" si="1"/>
        <v>SELECT ROLE</v>
      </c>
    </row>
    <row r="23" spans="1:14" ht="48" customHeight="1">
      <c r="A23" s="4" t="s">
        <v>136</v>
      </c>
      <c r="B23" s="4" t="s">
        <v>79</v>
      </c>
      <c r="C23" s="5" t="s">
        <v>137</v>
      </c>
      <c r="D23" s="5" t="s">
        <v>138</v>
      </c>
      <c r="E23" s="6">
        <v>1</v>
      </c>
      <c r="F23" s="6">
        <v>2</v>
      </c>
      <c r="G23" s="6">
        <v>3</v>
      </c>
      <c r="H23" s="6" t="str">
        <f>IF(Instructions!$B$8="Software Engineer",E23,IF(Instructions!$B$8="Technical Analyst / Senior Engineer",F23,IF(Instructions!$B$8="Tech Lead / Architect",G23,"")))</f>
        <v/>
      </c>
      <c r="I23" s="14"/>
      <c r="J23" s="15"/>
      <c r="K23" s="16"/>
      <c r="L23" s="16"/>
      <c r="M23" s="6" t="str">
        <f t="shared" si="0"/>
        <v/>
      </c>
      <c r="N23" s="6" t="str">
        <f t="shared" si="1"/>
        <v>SELECT ROLE</v>
      </c>
    </row>
    <row r="24" spans="1:14" ht="48" customHeight="1">
      <c r="A24" s="4" t="s">
        <v>139</v>
      </c>
      <c r="B24" s="4" t="s">
        <v>79</v>
      </c>
      <c r="C24" s="5" t="s">
        <v>140</v>
      </c>
      <c r="D24" s="5" t="s">
        <v>141</v>
      </c>
      <c r="E24" s="6">
        <v>2</v>
      </c>
      <c r="F24" s="6">
        <v>3</v>
      </c>
      <c r="G24" s="6">
        <v>3</v>
      </c>
      <c r="H24" s="6" t="str">
        <f>IF(Instructions!$B$8="Software Engineer",E24,IF(Instructions!$B$8="Technical Analyst / Senior Engineer",F24,IF(Instructions!$B$8="Tech Lead / Architect",G24,"")))</f>
        <v/>
      </c>
      <c r="I24" s="14"/>
      <c r="J24" s="15"/>
      <c r="K24" s="16"/>
      <c r="L24" s="16"/>
      <c r="M24" s="6" t="str">
        <f t="shared" si="0"/>
        <v/>
      </c>
      <c r="N24" s="6" t="str">
        <f t="shared" si="1"/>
        <v>SELECT ROLE</v>
      </c>
    </row>
    <row r="25" spans="1:14" ht="48" customHeight="1">
      <c r="A25" s="4" t="s">
        <v>142</v>
      </c>
      <c r="B25" s="4" t="s">
        <v>79</v>
      </c>
      <c r="C25" s="5" t="s">
        <v>143</v>
      </c>
      <c r="D25" s="5" t="s">
        <v>144</v>
      </c>
      <c r="E25" s="6">
        <v>1</v>
      </c>
      <c r="F25" s="6">
        <v>2</v>
      </c>
      <c r="G25" s="6">
        <v>3</v>
      </c>
      <c r="H25" s="6" t="str">
        <f>IF(Instructions!$B$8="Software Engineer",E25,IF(Instructions!$B$8="Technical Analyst / Senior Engineer",F25,IF(Instructions!$B$8="Tech Lead / Architect",G25,"")))</f>
        <v/>
      </c>
      <c r="I25" s="14"/>
      <c r="J25" s="15"/>
      <c r="K25" s="16"/>
      <c r="L25" s="16"/>
      <c r="M25" s="6" t="str">
        <f t="shared" si="0"/>
        <v/>
      </c>
      <c r="N25" s="6" t="str">
        <f t="shared" si="1"/>
        <v>SELECT ROLE</v>
      </c>
    </row>
    <row r="26" spans="1:14" ht="48" customHeight="1">
      <c r="A26" s="4" t="s">
        <v>145</v>
      </c>
      <c r="B26" s="4" t="s">
        <v>79</v>
      </c>
      <c r="C26" s="5" t="s">
        <v>146</v>
      </c>
      <c r="D26" s="5" t="s">
        <v>147</v>
      </c>
      <c r="E26" s="6">
        <v>1</v>
      </c>
      <c r="F26" s="6">
        <v>2</v>
      </c>
      <c r="G26" s="6">
        <v>3</v>
      </c>
      <c r="H26" s="6" t="str">
        <f>IF(Instructions!$B$8="Software Engineer",E26,IF(Instructions!$B$8="Technical Analyst / Senior Engineer",F26,IF(Instructions!$B$8="Tech Lead / Architect",G26,"")))</f>
        <v/>
      </c>
      <c r="I26" s="14"/>
      <c r="J26" s="15"/>
      <c r="K26" s="16"/>
      <c r="L26" s="16"/>
      <c r="M26" s="6" t="str">
        <f t="shared" si="0"/>
        <v/>
      </c>
      <c r="N26" s="6" t="str">
        <f t="shared" si="1"/>
        <v>SELECT ROLE</v>
      </c>
    </row>
    <row r="27" spans="1:14" ht="48" customHeight="1">
      <c r="A27" s="4" t="s">
        <v>148</v>
      </c>
      <c r="B27" s="4" t="s">
        <v>79</v>
      </c>
      <c r="C27" s="5" t="s">
        <v>149</v>
      </c>
      <c r="D27" s="5" t="s">
        <v>150</v>
      </c>
      <c r="E27" s="6">
        <v>2</v>
      </c>
      <c r="F27" s="6">
        <v>3</v>
      </c>
      <c r="G27" s="6">
        <v>3</v>
      </c>
      <c r="H27" s="6" t="str">
        <f>IF(Instructions!$B$8="Software Engineer",E27,IF(Instructions!$B$8="Technical Analyst / Senior Engineer",F27,IF(Instructions!$B$8="Tech Lead / Architect",G27,"")))</f>
        <v/>
      </c>
      <c r="I27" s="14"/>
      <c r="J27" s="15"/>
      <c r="K27" s="16"/>
      <c r="L27" s="16"/>
      <c r="M27" s="6" t="str">
        <f t="shared" si="0"/>
        <v/>
      </c>
      <c r="N27" s="6" t="str">
        <f t="shared" si="1"/>
        <v>SELECT ROLE</v>
      </c>
    </row>
    <row r="28" spans="1:14" ht="48" customHeight="1">
      <c r="A28" s="4" t="s">
        <v>151</v>
      </c>
      <c r="B28" s="4" t="s">
        <v>79</v>
      </c>
      <c r="C28" s="5" t="s">
        <v>152</v>
      </c>
      <c r="D28" s="5" t="s">
        <v>153</v>
      </c>
      <c r="E28" s="6">
        <v>1</v>
      </c>
      <c r="F28" s="6">
        <v>2</v>
      </c>
      <c r="G28" s="6">
        <v>3</v>
      </c>
      <c r="H28" s="6" t="str">
        <f>IF(Instructions!$B$8="Software Engineer",E28,IF(Instructions!$B$8="Technical Analyst / Senior Engineer",F28,IF(Instructions!$B$8="Tech Lead / Architect",G28,"")))</f>
        <v/>
      </c>
      <c r="I28" s="14"/>
      <c r="J28" s="15"/>
      <c r="K28" s="16"/>
      <c r="L28" s="16"/>
      <c r="M28" s="6" t="str">
        <f t="shared" si="0"/>
        <v/>
      </c>
      <c r="N28" s="6" t="str">
        <f t="shared" si="1"/>
        <v>SELECT ROLE</v>
      </c>
    </row>
    <row r="29" spans="1:14" ht="48" customHeight="1">
      <c r="A29" s="4" t="s">
        <v>154</v>
      </c>
      <c r="B29" s="4" t="s">
        <v>79</v>
      </c>
      <c r="C29" s="5" t="s">
        <v>155</v>
      </c>
      <c r="D29" s="5" t="s">
        <v>156</v>
      </c>
      <c r="E29" s="6">
        <v>1</v>
      </c>
      <c r="F29" s="6">
        <v>2</v>
      </c>
      <c r="G29" s="6">
        <v>3</v>
      </c>
      <c r="H29" s="6" t="str">
        <f>IF(Instructions!$B$8="Software Engineer",E29,IF(Instructions!$B$8="Technical Analyst / Senior Engineer",F29,IF(Instructions!$B$8="Tech Lead / Architect",G29,"")))</f>
        <v/>
      </c>
      <c r="I29" s="14"/>
      <c r="J29" s="15"/>
      <c r="K29" s="16"/>
      <c r="L29" s="16"/>
      <c r="M29" s="6" t="str">
        <f t="shared" si="0"/>
        <v/>
      </c>
      <c r="N29" s="6" t="str">
        <f t="shared" si="1"/>
        <v>SELECT ROLE</v>
      </c>
    </row>
    <row r="30" spans="1:14" ht="48" customHeight="1">
      <c r="A30" s="4" t="s">
        <v>157</v>
      </c>
      <c r="B30" s="4" t="s">
        <v>79</v>
      </c>
      <c r="C30" s="5" t="s">
        <v>158</v>
      </c>
      <c r="D30" s="5" t="s">
        <v>159</v>
      </c>
      <c r="E30" s="6">
        <v>1</v>
      </c>
      <c r="F30" s="6">
        <v>2</v>
      </c>
      <c r="G30" s="6">
        <v>3</v>
      </c>
      <c r="H30" s="6" t="str">
        <f>IF(Instructions!$B$8="Software Engineer",E30,IF(Instructions!$B$8="Technical Analyst / Senior Engineer",F30,IF(Instructions!$B$8="Tech Lead / Architect",G30,"")))</f>
        <v/>
      </c>
      <c r="I30" s="14"/>
      <c r="J30" s="15"/>
      <c r="K30" s="16"/>
      <c r="L30" s="16"/>
      <c r="M30" s="6" t="str">
        <f t="shared" si="0"/>
        <v/>
      </c>
      <c r="N30" s="6" t="str">
        <f t="shared" si="1"/>
        <v>SELECT ROLE</v>
      </c>
    </row>
    <row r="31" spans="1:14" ht="48" customHeight="1">
      <c r="A31" s="4" t="s">
        <v>160</v>
      </c>
      <c r="B31" s="4" t="s">
        <v>87</v>
      </c>
      <c r="C31" s="5" t="s">
        <v>161</v>
      </c>
      <c r="D31" s="5" t="s">
        <v>162</v>
      </c>
      <c r="E31" s="6">
        <v>2</v>
      </c>
      <c r="F31" s="6">
        <v>3</v>
      </c>
      <c r="G31" s="6">
        <v>3</v>
      </c>
      <c r="H31" s="6" t="str">
        <f>IF(Instructions!$B$8="Software Engineer",E31,IF(Instructions!$B$8="Technical Analyst / Senior Engineer",F31,IF(Instructions!$B$8="Tech Lead / Architect",G31,"")))</f>
        <v/>
      </c>
      <c r="I31" s="14"/>
      <c r="J31" s="15"/>
      <c r="K31" s="16"/>
      <c r="L31" s="16"/>
      <c r="M31" s="6" t="str">
        <f t="shared" si="0"/>
        <v/>
      </c>
      <c r="N31" s="6" t="str">
        <f t="shared" si="1"/>
        <v>SELECT ROLE</v>
      </c>
    </row>
    <row r="32" spans="1:14" ht="48" customHeight="1">
      <c r="A32" s="4" t="s">
        <v>163</v>
      </c>
      <c r="B32" s="4" t="s">
        <v>87</v>
      </c>
      <c r="C32" s="5" t="s">
        <v>164</v>
      </c>
      <c r="D32" s="5" t="s">
        <v>165</v>
      </c>
      <c r="E32" s="6">
        <v>2</v>
      </c>
      <c r="F32" s="6">
        <v>3</v>
      </c>
      <c r="G32" s="6">
        <v>4</v>
      </c>
      <c r="H32" s="6" t="str">
        <f>IF(Instructions!$B$8="Software Engineer",E32,IF(Instructions!$B$8="Technical Analyst / Senior Engineer",F32,IF(Instructions!$B$8="Tech Lead / Architect",G32,"")))</f>
        <v/>
      </c>
      <c r="I32" s="14"/>
      <c r="J32" s="15"/>
      <c r="K32" s="16"/>
      <c r="L32" s="16"/>
      <c r="M32" s="6" t="str">
        <f t="shared" si="0"/>
        <v/>
      </c>
      <c r="N32" s="6" t="str">
        <f t="shared" si="1"/>
        <v>SELECT ROLE</v>
      </c>
    </row>
    <row r="33" spans="1:14" ht="48" customHeight="1">
      <c r="A33" s="4" t="s">
        <v>166</v>
      </c>
      <c r="B33" s="4" t="s">
        <v>87</v>
      </c>
      <c r="C33" s="5" t="s">
        <v>167</v>
      </c>
      <c r="D33" s="5" t="s">
        <v>168</v>
      </c>
      <c r="E33" s="6">
        <v>1</v>
      </c>
      <c r="F33" s="6">
        <v>3</v>
      </c>
      <c r="G33" s="6">
        <v>3</v>
      </c>
      <c r="H33" s="6" t="str">
        <f>IF(Instructions!$B$8="Software Engineer",E33,IF(Instructions!$B$8="Technical Analyst / Senior Engineer",F33,IF(Instructions!$B$8="Tech Lead / Architect",G33,"")))</f>
        <v/>
      </c>
      <c r="I33" s="14"/>
      <c r="J33" s="15"/>
      <c r="K33" s="16"/>
      <c r="L33" s="16"/>
      <c r="M33" s="6" t="str">
        <f t="shared" si="0"/>
        <v/>
      </c>
      <c r="N33" s="6" t="str">
        <f t="shared" si="1"/>
        <v>SELECT ROLE</v>
      </c>
    </row>
    <row r="34" spans="1:14" ht="48" customHeight="1">
      <c r="A34" s="4" t="s">
        <v>169</v>
      </c>
      <c r="B34" s="4" t="s">
        <v>87</v>
      </c>
      <c r="C34" s="5" t="s">
        <v>170</v>
      </c>
      <c r="D34" s="5" t="s">
        <v>171</v>
      </c>
      <c r="E34" s="6">
        <v>2</v>
      </c>
      <c r="F34" s="6">
        <v>3</v>
      </c>
      <c r="G34" s="6">
        <v>4</v>
      </c>
      <c r="H34" s="6" t="str">
        <f>IF(Instructions!$B$8="Software Engineer",E34,IF(Instructions!$B$8="Technical Analyst / Senior Engineer",F34,IF(Instructions!$B$8="Tech Lead / Architect",G34,"")))</f>
        <v/>
      </c>
      <c r="I34" s="14"/>
      <c r="J34" s="15"/>
      <c r="K34" s="16"/>
      <c r="L34" s="16"/>
      <c r="M34" s="6" t="str">
        <f t="shared" si="0"/>
        <v/>
      </c>
      <c r="N34" s="6" t="str">
        <f t="shared" si="1"/>
        <v>SELECT ROLE</v>
      </c>
    </row>
    <row r="35" spans="1:14" ht="48" customHeight="1">
      <c r="A35" s="4" t="s">
        <v>172</v>
      </c>
      <c r="B35" s="4" t="s">
        <v>87</v>
      </c>
      <c r="C35" s="5" t="s">
        <v>173</v>
      </c>
      <c r="D35" s="5" t="s">
        <v>174</v>
      </c>
      <c r="E35" s="6">
        <v>2</v>
      </c>
      <c r="F35" s="6">
        <v>3</v>
      </c>
      <c r="G35" s="6">
        <v>4</v>
      </c>
      <c r="H35" s="6" t="str">
        <f>IF(Instructions!$B$8="Software Engineer",E35,IF(Instructions!$B$8="Technical Analyst / Senior Engineer",F35,IF(Instructions!$B$8="Tech Lead / Architect",G35,"")))</f>
        <v/>
      </c>
      <c r="I35" s="14"/>
      <c r="J35" s="15"/>
      <c r="K35" s="16"/>
      <c r="L35" s="16"/>
      <c r="M35" s="6" t="str">
        <f t="shared" si="0"/>
        <v/>
      </c>
      <c r="N35" s="6" t="str">
        <f t="shared" si="1"/>
        <v>SELECT ROLE</v>
      </c>
    </row>
    <row r="36" spans="1:14" ht="48" customHeight="1">
      <c r="A36" s="4" t="s">
        <v>175</v>
      </c>
      <c r="B36" s="4" t="s">
        <v>87</v>
      </c>
      <c r="C36" s="5" t="s">
        <v>176</v>
      </c>
      <c r="D36" s="5" t="s">
        <v>177</v>
      </c>
      <c r="E36" s="6">
        <v>2</v>
      </c>
      <c r="F36" s="6">
        <v>3</v>
      </c>
      <c r="G36" s="6">
        <v>3</v>
      </c>
      <c r="H36" s="6" t="str">
        <f>IF(Instructions!$B$8="Software Engineer",E36,IF(Instructions!$B$8="Technical Analyst / Senior Engineer",F36,IF(Instructions!$B$8="Tech Lead / Architect",G36,"")))</f>
        <v/>
      </c>
      <c r="I36" s="14"/>
      <c r="J36" s="15"/>
      <c r="K36" s="16"/>
      <c r="L36" s="16"/>
      <c r="M36" s="6" t="str">
        <f t="shared" si="0"/>
        <v/>
      </c>
      <c r="N36" s="6" t="str">
        <f t="shared" si="1"/>
        <v>SELECT ROLE</v>
      </c>
    </row>
    <row r="37" spans="1:14" ht="48" customHeight="1">
      <c r="A37" s="4" t="s">
        <v>178</v>
      </c>
      <c r="B37" s="4" t="s">
        <v>87</v>
      </c>
      <c r="C37" s="5" t="s">
        <v>179</v>
      </c>
      <c r="D37" s="5" t="s">
        <v>180</v>
      </c>
      <c r="E37" s="6">
        <v>1</v>
      </c>
      <c r="F37" s="6">
        <v>2</v>
      </c>
      <c r="G37" s="6">
        <v>3</v>
      </c>
      <c r="H37" s="6" t="str">
        <f>IF(Instructions!$B$8="Software Engineer",E37,IF(Instructions!$B$8="Technical Analyst / Senior Engineer",F37,IF(Instructions!$B$8="Tech Lead / Architect",G37,"")))</f>
        <v/>
      </c>
      <c r="I37" s="14"/>
      <c r="J37" s="15"/>
      <c r="K37" s="16"/>
      <c r="L37" s="16"/>
      <c r="M37" s="6" t="str">
        <f t="shared" si="0"/>
        <v/>
      </c>
      <c r="N37" s="6" t="str">
        <f t="shared" si="1"/>
        <v>SELECT ROLE</v>
      </c>
    </row>
    <row r="38" spans="1:14" ht="48" customHeight="1">
      <c r="A38" s="4" t="s">
        <v>181</v>
      </c>
      <c r="B38" s="4" t="s">
        <v>87</v>
      </c>
      <c r="C38" s="5" t="s">
        <v>182</v>
      </c>
      <c r="D38" s="5" t="s">
        <v>183</v>
      </c>
      <c r="E38" s="6">
        <v>1</v>
      </c>
      <c r="F38" s="6">
        <v>2</v>
      </c>
      <c r="G38" s="6">
        <v>3</v>
      </c>
      <c r="H38" s="6" t="str">
        <f>IF(Instructions!$B$8="Software Engineer",E38,IF(Instructions!$B$8="Technical Analyst / Senior Engineer",F38,IF(Instructions!$B$8="Tech Lead / Architect",G38,"")))</f>
        <v/>
      </c>
      <c r="I38" s="14"/>
      <c r="J38" s="15"/>
      <c r="K38" s="16"/>
      <c r="L38" s="16"/>
      <c r="M38" s="6" t="str">
        <f t="shared" si="0"/>
        <v/>
      </c>
      <c r="N38" s="6" t="str">
        <f t="shared" si="1"/>
        <v>SELECT ROLE</v>
      </c>
    </row>
    <row r="39" spans="1:14" ht="48" customHeight="1">
      <c r="A39" s="4" t="s">
        <v>184</v>
      </c>
      <c r="B39" s="4" t="s">
        <v>87</v>
      </c>
      <c r="C39" s="5" t="s">
        <v>185</v>
      </c>
      <c r="D39" s="5" t="s">
        <v>186</v>
      </c>
      <c r="E39" s="6">
        <v>2</v>
      </c>
      <c r="F39" s="6">
        <v>2</v>
      </c>
      <c r="G39" s="6">
        <v>3</v>
      </c>
      <c r="H39" s="6" t="str">
        <f>IF(Instructions!$B$8="Software Engineer",E39,IF(Instructions!$B$8="Technical Analyst / Senior Engineer",F39,IF(Instructions!$B$8="Tech Lead / Architect",G39,"")))</f>
        <v/>
      </c>
      <c r="I39" s="14"/>
      <c r="J39" s="15"/>
      <c r="K39" s="16"/>
      <c r="L39" s="16"/>
      <c r="M39" s="6" t="str">
        <f t="shared" si="0"/>
        <v/>
      </c>
      <c r="N39" s="6" t="str">
        <f t="shared" si="1"/>
        <v>SELECT ROLE</v>
      </c>
    </row>
    <row r="40" spans="1:14" ht="48" customHeight="1">
      <c r="A40" s="4" t="s">
        <v>187</v>
      </c>
      <c r="B40" s="4" t="s">
        <v>87</v>
      </c>
      <c r="C40" s="5" t="s">
        <v>188</v>
      </c>
      <c r="D40" s="5" t="s">
        <v>189</v>
      </c>
      <c r="E40" s="6">
        <v>1</v>
      </c>
      <c r="F40" s="6">
        <v>2</v>
      </c>
      <c r="G40" s="6">
        <v>3</v>
      </c>
      <c r="H40" s="6" t="str">
        <f>IF(Instructions!$B$8="Software Engineer",E40,IF(Instructions!$B$8="Technical Analyst / Senior Engineer",F40,IF(Instructions!$B$8="Tech Lead / Architect",G40,"")))</f>
        <v/>
      </c>
      <c r="I40" s="14"/>
      <c r="J40" s="15"/>
      <c r="K40" s="16"/>
      <c r="L40" s="16"/>
      <c r="M40" s="6" t="str">
        <f t="shared" si="0"/>
        <v/>
      </c>
      <c r="N40" s="6" t="str">
        <f t="shared" si="1"/>
        <v>SELECT ROLE</v>
      </c>
    </row>
    <row r="41" spans="1:14" ht="48" customHeight="1">
      <c r="A41" s="4" t="s">
        <v>190</v>
      </c>
      <c r="B41" s="4" t="s">
        <v>92</v>
      </c>
      <c r="C41" s="5" t="s">
        <v>191</v>
      </c>
      <c r="D41" s="5" t="s">
        <v>192</v>
      </c>
      <c r="E41" s="6">
        <v>3</v>
      </c>
      <c r="F41" s="6">
        <v>3</v>
      </c>
      <c r="G41" s="6">
        <v>3</v>
      </c>
      <c r="H41" s="6" t="str">
        <f>IF(Instructions!$B$8="Software Engineer",E41,IF(Instructions!$B$8="Technical Analyst / Senior Engineer",F41,IF(Instructions!$B$8="Tech Lead / Architect",G41,"")))</f>
        <v/>
      </c>
      <c r="I41" s="14"/>
      <c r="J41" s="15"/>
      <c r="K41" s="16"/>
      <c r="L41" s="16"/>
      <c r="M41" s="6" t="str">
        <f t="shared" si="0"/>
        <v/>
      </c>
      <c r="N41" s="6" t="str">
        <f t="shared" si="1"/>
        <v>SELECT ROLE</v>
      </c>
    </row>
    <row r="42" spans="1:14" ht="48" customHeight="1">
      <c r="A42" s="4" t="s">
        <v>193</v>
      </c>
      <c r="B42" s="4" t="s">
        <v>92</v>
      </c>
      <c r="C42" s="5" t="s">
        <v>194</v>
      </c>
      <c r="D42" s="5" t="s">
        <v>195</v>
      </c>
      <c r="E42" s="6">
        <v>3</v>
      </c>
      <c r="F42" s="6">
        <v>3</v>
      </c>
      <c r="G42" s="6">
        <v>3</v>
      </c>
      <c r="H42" s="6" t="str">
        <f>IF(Instructions!$B$8="Software Engineer",E42,IF(Instructions!$B$8="Technical Analyst / Senior Engineer",F42,IF(Instructions!$B$8="Tech Lead / Architect",G42,"")))</f>
        <v/>
      </c>
      <c r="I42" s="14"/>
      <c r="J42" s="15"/>
      <c r="K42" s="16"/>
      <c r="L42" s="16"/>
      <c r="M42" s="6" t="str">
        <f t="shared" si="0"/>
        <v/>
      </c>
      <c r="N42" s="6" t="str">
        <f t="shared" si="1"/>
        <v>SELECT ROLE</v>
      </c>
    </row>
    <row r="43" spans="1:14" ht="48" customHeight="1">
      <c r="A43" s="4" t="s">
        <v>196</v>
      </c>
      <c r="B43" s="4" t="s">
        <v>92</v>
      </c>
      <c r="C43" s="5" t="s">
        <v>197</v>
      </c>
      <c r="D43" s="5" t="s">
        <v>198</v>
      </c>
      <c r="E43" s="6">
        <v>3</v>
      </c>
      <c r="F43" s="6">
        <v>3</v>
      </c>
      <c r="G43" s="6">
        <v>4</v>
      </c>
      <c r="H43" s="6" t="str">
        <f>IF(Instructions!$B$8="Software Engineer",E43,IF(Instructions!$B$8="Technical Analyst / Senior Engineer",F43,IF(Instructions!$B$8="Tech Lead / Architect",G43,"")))</f>
        <v/>
      </c>
      <c r="I43" s="14"/>
      <c r="J43" s="15"/>
      <c r="K43" s="16"/>
      <c r="L43" s="16"/>
      <c r="M43" s="6" t="str">
        <f t="shared" si="0"/>
        <v/>
      </c>
      <c r="N43" s="6" t="str">
        <f t="shared" si="1"/>
        <v>SELECT ROLE</v>
      </c>
    </row>
    <row r="44" spans="1:14" ht="48" customHeight="1">
      <c r="A44" s="4" t="s">
        <v>199</v>
      </c>
      <c r="B44" s="4" t="s">
        <v>92</v>
      </c>
      <c r="C44" s="5" t="s">
        <v>200</v>
      </c>
      <c r="D44" s="5" t="s">
        <v>201</v>
      </c>
      <c r="E44" s="6">
        <v>2</v>
      </c>
      <c r="F44" s="6">
        <v>3</v>
      </c>
      <c r="G44" s="6">
        <v>3</v>
      </c>
      <c r="H44" s="6" t="str">
        <f>IF(Instructions!$B$8="Software Engineer",E44,IF(Instructions!$B$8="Technical Analyst / Senior Engineer",F44,IF(Instructions!$B$8="Tech Lead / Architect",G44,"")))</f>
        <v/>
      </c>
      <c r="I44" s="14"/>
      <c r="J44" s="15"/>
      <c r="K44" s="16"/>
      <c r="L44" s="16"/>
      <c r="M44" s="6" t="str">
        <f t="shared" si="0"/>
        <v/>
      </c>
      <c r="N44" s="6" t="str">
        <f t="shared" si="1"/>
        <v>SELECT ROLE</v>
      </c>
    </row>
    <row r="45" spans="1:14" ht="48" customHeight="1">
      <c r="A45" s="4" t="s">
        <v>202</v>
      </c>
      <c r="B45" s="4" t="s">
        <v>92</v>
      </c>
      <c r="C45" s="5" t="s">
        <v>203</v>
      </c>
      <c r="D45" s="5" t="s">
        <v>204</v>
      </c>
      <c r="E45" s="6">
        <v>2</v>
      </c>
      <c r="F45" s="6">
        <v>3</v>
      </c>
      <c r="G45" s="6">
        <v>3</v>
      </c>
      <c r="H45" s="6" t="str">
        <f>IF(Instructions!$B$8="Software Engineer",E45,IF(Instructions!$B$8="Technical Analyst / Senior Engineer",F45,IF(Instructions!$B$8="Tech Lead / Architect",G45,"")))</f>
        <v/>
      </c>
      <c r="I45" s="14"/>
      <c r="J45" s="15"/>
      <c r="K45" s="16"/>
      <c r="L45" s="16"/>
      <c r="M45" s="6" t="str">
        <f t="shared" si="0"/>
        <v/>
      </c>
      <c r="N45" s="6" t="str">
        <f t="shared" si="1"/>
        <v>SELECT ROLE</v>
      </c>
    </row>
    <row r="46" spans="1:14" ht="48" customHeight="1">
      <c r="A46" s="4" t="s">
        <v>205</v>
      </c>
      <c r="B46" s="4" t="s">
        <v>92</v>
      </c>
      <c r="C46" s="5" t="s">
        <v>206</v>
      </c>
      <c r="D46" s="5" t="s">
        <v>207</v>
      </c>
      <c r="E46" s="6">
        <v>2</v>
      </c>
      <c r="F46" s="6">
        <v>3</v>
      </c>
      <c r="G46" s="6">
        <v>3</v>
      </c>
      <c r="H46" s="6" t="str">
        <f>IF(Instructions!$B$8="Software Engineer",E46,IF(Instructions!$B$8="Technical Analyst / Senior Engineer",F46,IF(Instructions!$B$8="Tech Lead / Architect",G46,"")))</f>
        <v/>
      </c>
      <c r="I46" s="14"/>
      <c r="J46" s="15"/>
      <c r="K46" s="16"/>
      <c r="L46" s="16"/>
      <c r="M46" s="6" t="str">
        <f t="shared" si="0"/>
        <v/>
      </c>
      <c r="N46" s="6" t="str">
        <f t="shared" si="1"/>
        <v>SELECT ROLE</v>
      </c>
    </row>
    <row r="47" spans="1:14" ht="48" customHeight="1">
      <c r="A47" s="4" t="s">
        <v>208</v>
      </c>
      <c r="B47" s="4" t="s">
        <v>92</v>
      </c>
      <c r="C47" s="5" t="s">
        <v>209</v>
      </c>
      <c r="D47" s="5" t="s">
        <v>210</v>
      </c>
      <c r="E47" s="6">
        <v>1</v>
      </c>
      <c r="F47" s="6">
        <v>2</v>
      </c>
      <c r="G47" s="6">
        <v>3</v>
      </c>
      <c r="H47" s="6" t="str">
        <f>IF(Instructions!$B$8="Software Engineer",E47,IF(Instructions!$B$8="Technical Analyst / Senior Engineer",F47,IF(Instructions!$B$8="Tech Lead / Architect",G47,"")))</f>
        <v/>
      </c>
      <c r="I47" s="14"/>
      <c r="J47" s="15"/>
      <c r="K47" s="16"/>
      <c r="L47" s="16"/>
      <c r="M47" s="6" t="str">
        <f t="shared" si="0"/>
        <v/>
      </c>
      <c r="N47" s="6" t="str">
        <f t="shared" si="1"/>
        <v>SELECT ROLE</v>
      </c>
    </row>
    <row r="48" spans="1:14" ht="48" customHeight="1">
      <c r="A48" s="4" t="s">
        <v>211</v>
      </c>
      <c r="B48" s="4" t="s">
        <v>92</v>
      </c>
      <c r="C48" s="5" t="s">
        <v>212</v>
      </c>
      <c r="D48" s="5" t="s">
        <v>213</v>
      </c>
      <c r="E48" s="6">
        <v>1</v>
      </c>
      <c r="F48" s="6">
        <v>3</v>
      </c>
      <c r="G48" s="6">
        <v>3</v>
      </c>
      <c r="H48" s="6" t="str">
        <f>IF(Instructions!$B$8="Software Engineer",E48,IF(Instructions!$B$8="Technical Analyst / Senior Engineer",F48,IF(Instructions!$B$8="Tech Lead / Architect",G48,"")))</f>
        <v/>
      </c>
      <c r="I48" s="14"/>
      <c r="J48" s="15"/>
      <c r="K48" s="16"/>
      <c r="L48" s="16"/>
      <c r="M48" s="6" t="str">
        <f t="shared" si="0"/>
        <v/>
      </c>
      <c r="N48" s="6" t="str">
        <f t="shared" si="1"/>
        <v>SELECT ROLE</v>
      </c>
    </row>
    <row r="49" spans="1:14" ht="48" customHeight="1">
      <c r="A49" s="4" t="s">
        <v>214</v>
      </c>
      <c r="B49" s="4" t="s">
        <v>100</v>
      </c>
      <c r="C49" s="5" t="s">
        <v>215</v>
      </c>
      <c r="D49" s="5" t="s">
        <v>216</v>
      </c>
      <c r="E49" s="6">
        <v>2</v>
      </c>
      <c r="F49" s="6">
        <v>3</v>
      </c>
      <c r="G49" s="6">
        <v>4</v>
      </c>
      <c r="H49" s="6" t="str">
        <f>IF(Instructions!$B$8="Software Engineer",E49,IF(Instructions!$B$8="Technical Analyst / Senior Engineer",F49,IF(Instructions!$B$8="Tech Lead / Architect",G49,"")))</f>
        <v/>
      </c>
      <c r="I49" s="14"/>
      <c r="J49" s="15"/>
      <c r="K49" s="16"/>
      <c r="L49" s="16"/>
      <c r="M49" s="6" t="str">
        <f t="shared" si="0"/>
        <v/>
      </c>
      <c r="N49" s="6" t="str">
        <f t="shared" si="1"/>
        <v>SELECT ROLE</v>
      </c>
    </row>
    <row r="50" spans="1:14" ht="48" customHeight="1">
      <c r="A50" s="4" t="s">
        <v>217</v>
      </c>
      <c r="B50" s="4" t="s">
        <v>100</v>
      </c>
      <c r="C50" s="5" t="s">
        <v>218</v>
      </c>
      <c r="D50" s="5" t="s">
        <v>219</v>
      </c>
      <c r="E50" s="6">
        <v>2</v>
      </c>
      <c r="F50" s="6">
        <v>3</v>
      </c>
      <c r="G50" s="6">
        <v>4</v>
      </c>
      <c r="H50" s="6" t="str">
        <f>IF(Instructions!$B$8="Software Engineer",E50,IF(Instructions!$B$8="Technical Analyst / Senior Engineer",F50,IF(Instructions!$B$8="Tech Lead / Architect",G50,"")))</f>
        <v/>
      </c>
      <c r="I50" s="14"/>
      <c r="J50" s="15"/>
      <c r="K50" s="16"/>
      <c r="L50" s="16"/>
      <c r="M50" s="6" t="str">
        <f t="shared" si="0"/>
        <v/>
      </c>
      <c r="N50" s="6" t="str">
        <f t="shared" si="1"/>
        <v>SELECT ROLE</v>
      </c>
    </row>
    <row r="51" spans="1:14" ht="48" customHeight="1">
      <c r="A51" s="4" t="s">
        <v>220</v>
      </c>
      <c r="B51" s="4" t="s">
        <v>100</v>
      </c>
      <c r="C51" s="5" t="s">
        <v>221</v>
      </c>
      <c r="D51" s="5" t="s">
        <v>222</v>
      </c>
      <c r="E51" s="6">
        <v>1</v>
      </c>
      <c r="F51" s="6">
        <v>3</v>
      </c>
      <c r="G51" s="6">
        <v>4</v>
      </c>
      <c r="H51" s="6" t="str">
        <f>IF(Instructions!$B$8="Software Engineer",E51,IF(Instructions!$B$8="Technical Analyst / Senior Engineer",F51,IF(Instructions!$B$8="Tech Lead / Architect",G51,"")))</f>
        <v/>
      </c>
      <c r="I51" s="14"/>
      <c r="J51" s="15"/>
      <c r="K51" s="16"/>
      <c r="L51" s="16"/>
      <c r="M51" s="6" t="str">
        <f t="shared" si="0"/>
        <v/>
      </c>
      <c r="N51" s="6" t="str">
        <f t="shared" si="1"/>
        <v>SELECT ROLE</v>
      </c>
    </row>
    <row r="52" spans="1:14" ht="48" customHeight="1">
      <c r="A52" s="4" t="s">
        <v>223</v>
      </c>
      <c r="B52" s="4" t="s">
        <v>100</v>
      </c>
      <c r="C52" s="5" t="s">
        <v>224</v>
      </c>
      <c r="D52" s="5" t="s">
        <v>225</v>
      </c>
      <c r="E52" s="6">
        <v>1</v>
      </c>
      <c r="F52" s="6">
        <v>2</v>
      </c>
      <c r="G52" s="6">
        <v>4</v>
      </c>
      <c r="H52" s="6" t="str">
        <f>IF(Instructions!$B$8="Software Engineer",E52,IF(Instructions!$B$8="Technical Analyst / Senior Engineer",F52,IF(Instructions!$B$8="Tech Lead / Architect",G52,"")))</f>
        <v/>
      </c>
      <c r="I52" s="14"/>
      <c r="J52" s="15"/>
      <c r="K52" s="16"/>
      <c r="L52" s="16"/>
      <c r="M52" s="6" t="str">
        <f t="shared" si="0"/>
        <v/>
      </c>
      <c r="N52" s="6" t="str">
        <f t="shared" si="1"/>
        <v>SELECT ROLE</v>
      </c>
    </row>
    <row r="53" spans="1:14" ht="48" customHeight="1">
      <c r="A53" s="4" t="s">
        <v>226</v>
      </c>
      <c r="B53" s="4" t="s">
        <v>100</v>
      </c>
      <c r="C53" s="5" t="s">
        <v>227</v>
      </c>
      <c r="D53" s="5" t="s">
        <v>228</v>
      </c>
      <c r="E53" s="6">
        <v>1</v>
      </c>
      <c r="F53" s="6">
        <v>2</v>
      </c>
      <c r="G53" s="6">
        <v>4</v>
      </c>
      <c r="H53" s="6" t="str">
        <f>IF(Instructions!$B$8="Software Engineer",E53,IF(Instructions!$B$8="Technical Analyst / Senior Engineer",F53,IF(Instructions!$B$8="Tech Lead / Architect",G53,"")))</f>
        <v/>
      </c>
      <c r="I53" s="14"/>
      <c r="J53" s="15"/>
      <c r="K53" s="16"/>
      <c r="L53" s="16"/>
      <c r="M53" s="6" t="str">
        <f t="shared" si="0"/>
        <v/>
      </c>
      <c r="N53" s="6" t="str">
        <f t="shared" si="1"/>
        <v>SELECT ROLE</v>
      </c>
    </row>
    <row r="54" spans="1:14" ht="48" customHeight="1">
      <c r="A54" s="4" t="s">
        <v>229</v>
      </c>
      <c r="B54" s="4" t="s">
        <v>100</v>
      </c>
      <c r="C54" s="5" t="s">
        <v>230</v>
      </c>
      <c r="D54" s="5" t="s">
        <v>231</v>
      </c>
      <c r="E54" s="6">
        <v>1</v>
      </c>
      <c r="F54" s="6">
        <v>2</v>
      </c>
      <c r="G54" s="6">
        <v>4</v>
      </c>
      <c r="H54" s="6" t="str">
        <f>IF(Instructions!$B$8="Software Engineer",E54,IF(Instructions!$B$8="Technical Analyst / Senior Engineer",F54,IF(Instructions!$B$8="Tech Lead / Architect",G54,"")))</f>
        <v/>
      </c>
      <c r="I54" s="14"/>
      <c r="J54" s="15"/>
      <c r="K54" s="16"/>
      <c r="L54" s="16"/>
      <c r="M54" s="6" t="str">
        <f t="shared" si="0"/>
        <v/>
      </c>
      <c r="N54" s="6" t="str">
        <f t="shared" si="1"/>
        <v>SELECT ROLE</v>
      </c>
    </row>
    <row r="55" spans="1:14" ht="48" customHeight="1">
      <c r="A55" s="4" t="s">
        <v>232</v>
      </c>
      <c r="B55" s="4" t="s">
        <v>100</v>
      </c>
      <c r="C55" s="5" t="s">
        <v>233</v>
      </c>
      <c r="D55" s="5" t="s">
        <v>234</v>
      </c>
      <c r="E55" s="6">
        <v>0</v>
      </c>
      <c r="F55" s="6">
        <v>2</v>
      </c>
      <c r="G55" s="6">
        <v>4</v>
      </c>
      <c r="H55" s="6" t="str">
        <f>IF(Instructions!$B$8="Software Engineer",E55,IF(Instructions!$B$8="Technical Analyst / Senior Engineer",F55,IF(Instructions!$B$8="Tech Lead / Architect",G55,"")))</f>
        <v/>
      </c>
      <c r="I55" s="14"/>
      <c r="J55" s="15"/>
      <c r="K55" s="16"/>
      <c r="L55" s="16"/>
      <c r="M55" s="6" t="str">
        <f t="shared" si="0"/>
        <v/>
      </c>
      <c r="N55" s="6" t="str">
        <f t="shared" si="1"/>
        <v>SELECT ROLE</v>
      </c>
    </row>
    <row r="56" spans="1:14" ht="48" customHeight="1">
      <c r="A56" s="4" t="s">
        <v>235</v>
      </c>
      <c r="B56" s="4" t="s">
        <v>100</v>
      </c>
      <c r="C56" s="5" t="s">
        <v>236</v>
      </c>
      <c r="D56" s="5" t="s">
        <v>237</v>
      </c>
      <c r="E56" s="6">
        <v>0</v>
      </c>
      <c r="F56" s="6">
        <v>2</v>
      </c>
      <c r="G56" s="6">
        <v>3</v>
      </c>
      <c r="H56" s="6" t="str">
        <f>IF(Instructions!$B$8="Software Engineer",E56,IF(Instructions!$B$8="Technical Analyst / Senior Engineer",F56,IF(Instructions!$B$8="Tech Lead / Architect",G56,"")))</f>
        <v/>
      </c>
      <c r="I56" s="14"/>
      <c r="J56" s="15"/>
      <c r="K56" s="16"/>
      <c r="L56" s="16"/>
      <c r="M56" s="6" t="str">
        <f t="shared" si="0"/>
        <v/>
      </c>
      <c r="N56" s="6" t="str">
        <f t="shared" si="1"/>
        <v>SELECT ROLE</v>
      </c>
    </row>
    <row r="57" spans="1:14" ht="48" customHeight="1">
      <c r="A57" s="4" t="s">
        <v>238</v>
      </c>
      <c r="B57" s="4" t="s">
        <v>100</v>
      </c>
      <c r="C57" s="5" t="s">
        <v>239</v>
      </c>
      <c r="D57" s="5" t="s">
        <v>240</v>
      </c>
      <c r="E57" s="6">
        <v>1</v>
      </c>
      <c r="F57" s="6">
        <v>2</v>
      </c>
      <c r="G57" s="6">
        <v>3</v>
      </c>
      <c r="H57" s="6" t="str">
        <f>IF(Instructions!$B$8="Software Engineer",E57,IF(Instructions!$B$8="Technical Analyst / Senior Engineer",F57,IF(Instructions!$B$8="Tech Lead / Architect",G57,"")))</f>
        <v/>
      </c>
      <c r="I57" s="14"/>
      <c r="J57" s="15"/>
      <c r="K57" s="16"/>
      <c r="L57" s="16"/>
      <c r="M57" s="6" t="str">
        <f t="shared" si="0"/>
        <v/>
      </c>
      <c r="N57" s="6" t="str">
        <f t="shared" si="1"/>
        <v>SELECT ROLE</v>
      </c>
    </row>
    <row r="58" spans="1:14" ht="48" customHeight="1">
      <c r="A58" s="4" t="s">
        <v>241</v>
      </c>
      <c r="B58" s="4" t="s">
        <v>100</v>
      </c>
      <c r="C58" s="5" t="s">
        <v>242</v>
      </c>
      <c r="D58" s="5" t="s">
        <v>243</v>
      </c>
      <c r="E58" s="6">
        <v>1</v>
      </c>
      <c r="F58" s="6">
        <v>2</v>
      </c>
      <c r="G58" s="6">
        <v>3</v>
      </c>
      <c r="H58" s="6" t="str">
        <f>IF(Instructions!$B$8="Software Engineer",E58,IF(Instructions!$B$8="Technical Analyst / Senior Engineer",F58,IF(Instructions!$B$8="Tech Lead / Architect",G58,"")))</f>
        <v/>
      </c>
      <c r="I58" s="14"/>
      <c r="J58" s="15"/>
      <c r="K58" s="16"/>
      <c r="L58" s="16"/>
      <c r="M58" s="6" t="str">
        <f t="shared" si="0"/>
        <v/>
      </c>
      <c r="N58" s="6" t="str">
        <f t="shared" si="1"/>
        <v>SELECT ROLE</v>
      </c>
    </row>
    <row r="59" spans="1:14" ht="48" customHeight="1">
      <c r="A59" s="4" t="s">
        <v>244</v>
      </c>
      <c r="B59" s="4" t="s">
        <v>100</v>
      </c>
      <c r="C59" s="5" t="s">
        <v>245</v>
      </c>
      <c r="D59" s="5" t="s">
        <v>246</v>
      </c>
      <c r="E59" s="6">
        <v>0</v>
      </c>
      <c r="F59" s="6">
        <v>2</v>
      </c>
      <c r="G59" s="6">
        <v>4</v>
      </c>
      <c r="H59" s="6" t="str">
        <f>IF(Instructions!$B$8="Software Engineer",E59,IF(Instructions!$B$8="Technical Analyst / Senior Engineer",F59,IF(Instructions!$B$8="Tech Lead / Architect",G59,"")))</f>
        <v/>
      </c>
      <c r="I59" s="14"/>
      <c r="J59" s="15"/>
      <c r="K59" s="16"/>
      <c r="L59" s="16"/>
      <c r="M59" s="6" t="str">
        <f t="shared" si="0"/>
        <v/>
      </c>
      <c r="N59" s="6" t="str">
        <f t="shared" si="1"/>
        <v>SELECT ROLE</v>
      </c>
    </row>
    <row r="60" spans="1:14" ht="48" customHeight="1">
      <c r="A60" s="4" t="s">
        <v>247</v>
      </c>
      <c r="B60" s="4" t="s">
        <v>100</v>
      </c>
      <c r="C60" s="5" t="s">
        <v>248</v>
      </c>
      <c r="D60" s="5" t="s">
        <v>249</v>
      </c>
      <c r="E60" s="6">
        <v>0</v>
      </c>
      <c r="F60" s="6">
        <v>1</v>
      </c>
      <c r="G60" s="6">
        <v>3</v>
      </c>
      <c r="H60" s="6" t="str">
        <f>IF(Instructions!$B$8="Software Engineer",E60,IF(Instructions!$B$8="Technical Analyst / Senior Engineer",F60,IF(Instructions!$B$8="Tech Lead / Architect",G60,"")))</f>
        <v/>
      </c>
      <c r="I60" s="14"/>
      <c r="J60" s="15"/>
      <c r="K60" s="16"/>
      <c r="L60" s="16"/>
      <c r="M60" s="6" t="str">
        <f t="shared" si="0"/>
        <v/>
      </c>
      <c r="N60" s="6" t="str">
        <f t="shared" si="1"/>
        <v>SELECT ROLE</v>
      </c>
    </row>
    <row r="61" spans="1:14" ht="48" customHeight="1">
      <c r="A61" s="4" t="s">
        <v>250</v>
      </c>
      <c r="B61" s="4" t="s">
        <v>105</v>
      </c>
      <c r="C61" s="5" t="s">
        <v>251</v>
      </c>
      <c r="D61" s="5" t="s">
        <v>252</v>
      </c>
      <c r="E61" s="6">
        <v>3</v>
      </c>
      <c r="F61" s="6">
        <v>3</v>
      </c>
      <c r="G61" s="6">
        <v>4</v>
      </c>
      <c r="H61" s="6" t="str">
        <f>IF(Instructions!$B$8="Software Engineer",E61,IF(Instructions!$B$8="Technical Analyst / Senior Engineer",F61,IF(Instructions!$B$8="Tech Lead / Architect",G61,"")))</f>
        <v/>
      </c>
      <c r="I61" s="14"/>
      <c r="J61" s="15"/>
      <c r="K61" s="16"/>
      <c r="L61" s="16"/>
      <c r="M61" s="6" t="str">
        <f t="shared" si="0"/>
        <v/>
      </c>
      <c r="N61" s="6" t="str">
        <f t="shared" si="1"/>
        <v>SELECT ROLE</v>
      </c>
    </row>
    <row r="62" spans="1:14" ht="48" customHeight="1">
      <c r="A62" s="4" t="s">
        <v>253</v>
      </c>
      <c r="B62" s="4" t="s">
        <v>105</v>
      </c>
      <c r="C62" s="5" t="s">
        <v>254</v>
      </c>
      <c r="D62" s="5" t="s">
        <v>255</v>
      </c>
      <c r="E62" s="6">
        <v>2</v>
      </c>
      <c r="F62" s="6">
        <v>3</v>
      </c>
      <c r="G62" s="6">
        <v>4</v>
      </c>
      <c r="H62" s="6" t="str">
        <f>IF(Instructions!$B$8="Software Engineer",E62,IF(Instructions!$B$8="Technical Analyst / Senior Engineer",F62,IF(Instructions!$B$8="Tech Lead / Architect",G62,"")))</f>
        <v/>
      </c>
      <c r="I62" s="14"/>
      <c r="J62" s="15"/>
      <c r="K62" s="16"/>
      <c r="L62" s="16"/>
      <c r="M62" s="6" t="str">
        <f t="shared" si="0"/>
        <v/>
      </c>
      <c r="N62" s="6" t="str">
        <f t="shared" si="1"/>
        <v>SELECT ROLE</v>
      </c>
    </row>
    <row r="63" spans="1:14" ht="48" customHeight="1">
      <c r="A63" s="4" t="s">
        <v>256</v>
      </c>
      <c r="B63" s="4" t="s">
        <v>105</v>
      </c>
      <c r="C63" s="5" t="s">
        <v>257</v>
      </c>
      <c r="D63" s="5" t="s">
        <v>258</v>
      </c>
      <c r="E63" s="6">
        <v>2</v>
      </c>
      <c r="F63" s="6">
        <v>3</v>
      </c>
      <c r="G63" s="6">
        <v>4</v>
      </c>
      <c r="H63" s="6" t="str">
        <f>IF(Instructions!$B$8="Software Engineer",E63,IF(Instructions!$B$8="Technical Analyst / Senior Engineer",F63,IF(Instructions!$B$8="Tech Lead / Architect",G63,"")))</f>
        <v/>
      </c>
      <c r="I63" s="14"/>
      <c r="J63" s="15"/>
      <c r="K63" s="16"/>
      <c r="L63" s="16"/>
      <c r="M63" s="6" t="str">
        <f t="shared" si="0"/>
        <v/>
      </c>
      <c r="N63" s="6" t="str">
        <f t="shared" si="1"/>
        <v>SELECT ROLE</v>
      </c>
    </row>
    <row r="64" spans="1:14" ht="48" customHeight="1">
      <c r="A64" s="4" t="s">
        <v>259</v>
      </c>
      <c r="B64" s="4" t="s">
        <v>105</v>
      </c>
      <c r="C64" s="5" t="s">
        <v>260</v>
      </c>
      <c r="D64" s="5" t="s">
        <v>261</v>
      </c>
      <c r="E64" s="6">
        <v>1</v>
      </c>
      <c r="F64" s="6">
        <v>2</v>
      </c>
      <c r="G64" s="6">
        <v>3</v>
      </c>
      <c r="H64" s="6" t="str">
        <f>IF(Instructions!$B$8="Software Engineer",E64,IF(Instructions!$B$8="Technical Analyst / Senior Engineer",F64,IF(Instructions!$B$8="Tech Lead / Architect",G64,"")))</f>
        <v/>
      </c>
      <c r="I64" s="18"/>
      <c r="J64" s="19"/>
      <c r="K64" s="20"/>
      <c r="L64" s="20"/>
      <c r="M64" s="6" t="str">
        <f t="shared" si="0"/>
        <v/>
      </c>
      <c r="N64" s="6" t="str">
        <f t="shared" si="1"/>
        <v>SELECT ROLE</v>
      </c>
    </row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2">
    <mergeCell ref="A1:N1"/>
    <mergeCell ref="A2:N2"/>
  </mergeCells>
  <conditionalFormatting sqref="N5:N64">
    <cfRule type="expression" dxfId="9" priority="1">
      <formula>N5="CRITICAL"</formula>
    </cfRule>
    <cfRule type="expression" dxfId="8" priority="2">
      <formula>N5="GAP"</formula>
    </cfRule>
    <cfRule type="expression" dxfId="7" priority="3">
      <formula>N5="AT BAR"</formula>
    </cfRule>
    <cfRule type="expression" dxfId="6" priority="4">
      <formula>N5="STRENGTH"</formula>
    </cfRule>
    <cfRule type="expression" dxfId="5" priority="5">
      <formula>N5="NOT ASSESSED"</formula>
    </cfRule>
    <cfRule type="expression" dxfId="4" priority="6">
      <formula>N5="NOT REQUIRED"</formula>
    </cfRule>
  </conditionalFormatting>
  <dataValidations count="1">
    <dataValidation type="list" allowBlank="1" sqref="I5:I64 K5:K64" xr:uid="{00000000-0002-0000-0100-000000000000}">
      <formula1>"0,1,2,3,4"</formula1>
    </dataValidation>
  </dataValidations>
  <pageMargins left="0.7" right="0.7" top="0.75" bottom="0.75" header="0" footer="0"/>
  <pageSetup orientation="landscape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J1000"/>
  <sheetViews>
    <sheetView workbookViewId="0"/>
  </sheetViews>
  <sheetFormatPr defaultColWidth="12.59765625" defaultRowHeight="15" customHeight="1"/>
  <cols>
    <col min="1" max="1" width="3" customWidth="1"/>
    <col min="2" max="2" width="15" customWidth="1"/>
    <col min="3" max="3" width="32" customWidth="1"/>
    <col min="4" max="9" width="14" customWidth="1"/>
    <col min="10" max="10" width="4" customWidth="1"/>
    <col min="11" max="26" width="8.59765625" customWidth="1"/>
  </cols>
  <sheetData>
    <row r="1" spans="1:10" ht="33.75" customHeight="1">
      <c r="A1" s="23" t="s">
        <v>11</v>
      </c>
      <c r="B1" s="24"/>
      <c r="C1" s="24"/>
      <c r="D1" s="24"/>
      <c r="E1" s="24"/>
      <c r="F1" s="24"/>
      <c r="G1" s="24"/>
      <c r="H1" s="24"/>
      <c r="I1" s="24"/>
      <c r="J1" s="24"/>
    </row>
    <row r="2" spans="1:10" ht="13.8">
      <c r="A2" s="30" t="str">
        <f>"Resource: "&amp;Instructions!B5&amp;"   |   Assessment Role: "&amp;Instructions!B8&amp;"   |   Assessor: "&amp;Instructions!E8</f>
        <v xml:space="preserve">Resource:    |   Assessment Role:    |   Assessor: </v>
      </c>
      <c r="B2" s="24"/>
      <c r="C2" s="24"/>
      <c r="D2" s="24"/>
      <c r="E2" s="24"/>
      <c r="F2" s="24"/>
      <c r="G2" s="24"/>
      <c r="H2" s="24"/>
      <c r="I2" s="24"/>
      <c r="J2" s="24"/>
    </row>
    <row r="4" spans="1:10" ht="13.8">
      <c r="B4" s="31" t="s">
        <v>27</v>
      </c>
      <c r="C4" s="24"/>
      <c r="E4" s="31" t="s">
        <v>31</v>
      </c>
      <c r="F4" s="24"/>
      <c r="H4" s="31" t="s">
        <v>33</v>
      </c>
      <c r="I4" s="24"/>
    </row>
    <row r="5" spans="1:10" ht="13.8">
      <c r="B5" s="36" t="str">
        <f>IF(E5&lt;1,"ASSESSMENT INCOMPLETE",IF(AND(H5&gt;=85%,B9=0),"CLIENT READY",IF(AND(H5&gt;=65%,B9&lt;=3),"MINIMAL TRAINING NEEDED","INTENSIVE TRAINING NEEDED")))</f>
        <v>ASSESSMENT INCOMPLETE</v>
      </c>
      <c r="C5" s="33"/>
      <c r="E5" s="32">
        <f>IFERROR(SUMPRODUCT(--(DotNet_Assessment!$H$5:$H$64&gt;0),--ISNUMBER(DotNet_Assessment!$K$5:$K$64))/COUNTIF(DotNet_Assessment!$H$5:$H$64,"&gt;0"),0)</f>
        <v>0</v>
      </c>
      <c r="F5" s="33"/>
      <c r="H5" s="32">
        <f>IFERROR(SUMPRODUCT(--(DotNet_Assessment!$H$5:$H$64&gt;0),--ISNUMBER(DotNet_Assessment!$K$5:$K$64),--(DotNet_Assessment!$K$5:$K$64&gt;=DotNet_Assessment!$H$5:$H$64))/COUNTIF(DotNet_Assessment!$H$5:$H$64,"&gt;0"),0)</f>
        <v>0</v>
      </c>
      <c r="I5" s="33"/>
    </row>
    <row r="6" spans="1:10" ht="13.8">
      <c r="B6" s="34"/>
      <c r="C6" s="24"/>
      <c r="E6" s="34"/>
      <c r="F6" s="24"/>
      <c r="H6" s="34"/>
      <c r="I6" s="24"/>
    </row>
    <row r="8" spans="1:10" ht="13.8">
      <c r="B8" s="31" t="s">
        <v>61</v>
      </c>
      <c r="C8" s="24"/>
      <c r="E8" s="31" t="s">
        <v>62</v>
      </c>
      <c r="F8" s="24"/>
      <c r="H8" s="31" t="s">
        <v>63</v>
      </c>
      <c r="I8" s="24"/>
    </row>
    <row r="9" spans="1:10" ht="13.8">
      <c r="B9" s="36">
        <f>COUNTIF(DotNet_Assessment!$N$5:$N$64,"CRITICAL")</f>
        <v>0</v>
      </c>
      <c r="C9" s="33"/>
      <c r="E9" s="36">
        <f>COUNTIF(DotNet_Assessment!$N$5:$N$64,"GAP")</f>
        <v>0</v>
      </c>
      <c r="F9" s="33"/>
      <c r="H9" s="36">
        <f>COUNTIF(DotNet_Assessment!$N$5:$N$64,"STRENGTH")</f>
        <v>0</v>
      </c>
      <c r="I9" s="33"/>
    </row>
    <row r="10" spans="1:10" ht="13.8">
      <c r="B10" s="34"/>
      <c r="C10" s="24"/>
      <c r="E10" s="34"/>
      <c r="F10" s="24"/>
      <c r="H10" s="34"/>
      <c r="I10" s="24"/>
    </row>
    <row r="12" spans="1:10" ht="13.8">
      <c r="B12" s="26" t="s">
        <v>64</v>
      </c>
      <c r="C12" s="24"/>
      <c r="D12" s="24"/>
      <c r="E12" s="24"/>
      <c r="F12" s="24"/>
      <c r="G12" s="24"/>
      <c r="H12" s="24"/>
      <c r="I12" s="24"/>
      <c r="J12" s="24"/>
    </row>
    <row r="13" spans="1:10" ht="13.8">
      <c r="B13" s="10" t="s">
        <v>44</v>
      </c>
      <c r="C13" s="11" t="s">
        <v>65</v>
      </c>
      <c r="D13" s="11" t="s">
        <v>66</v>
      </c>
      <c r="E13" s="11" t="s">
        <v>67</v>
      </c>
      <c r="F13" s="11" t="s">
        <v>68</v>
      </c>
      <c r="G13" s="11" t="s">
        <v>69</v>
      </c>
      <c r="H13" s="11" t="s">
        <v>70</v>
      </c>
      <c r="I13" s="12" t="s">
        <v>71</v>
      </c>
    </row>
    <row r="14" spans="1:10" ht="13.8">
      <c r="B14" s="13" t="s">
        <v>58</v>
      </c>
      <c r="C14" s="3" t="s">
        <v>72</v>
      </c>
      <c r="D14" s="13">
        <f>COUNTIFS(DotNet_Assessment!$B$5:$B$64,$B14,DotNet_Assessment!$H$5:$H$64,"&gt;0")</f>
        <v>0</v>
      </c>
      <c r="E14" s="13">
        <f>SUMPRODUCT(--(DotNet_Assessment!$B$5:$B$64=$B14),--(DotNet_Assessment!$H$5:$H$64&gt;0),--ISNUMBER(DotNet_Assessment!$K$5:$K$64))</f>
        <v>0</v>
      </c>
      <c r="F14" s="13">
        <f>SUMPRODUCT(--(DotNet_Assessment!$B$5:$B$64=$B14),--(DotNet_Assessment!$H$5:$H$64&gt;0),--ISNUMBER(DotNet_Assessment!$K$5:$K$64),--(DotNet_Assessment!$K$5:$K$64&gt;=DotNet_Assessment!$H$5:$H$64))</f>
        <v>0</v>
      </c>
      <c r="G14" s="17">
        <f t="shared" ref="G14:G19" si="0">IFERROR(F14/D14,0)</f>
        <v>0</v>
      </c>
      <c r="H14" s="13">
        <f>COUNTIFS(DotNet_Assessment!$B$5:$B$64,$B14,DotNet_Assessment!$N$5:$N$64,"CRITICAL")</f>
        <v>0</v>
      </c>
      <c r="I14" s="13">
        <f>COUNTIFS(DotNet_Assessment!$B$5:$B$64,$B14,DotNet_Assessment!$N$5:$N$64,"GAP")</f>
        <v>0</v>
      </c>
    </row>
    <row r="15" spans="1:10" ht="13.8">
      <c r="B15" s="13" t="s">
        <v>79</v>
      </c>
      <c r="C15" s="3" t="s">
        <v>80</v>
      </c>
      <c r="D15" s="13">
        <f>COUNTIFS(DotNet_Assessment!$B$5:$B$64,$B15,DotNet_Assessment!$H$5:$H$64,"&gt;0")</f>
        <v>0</v>
      </c>
      <c r="E15" s="13">
        <f>SUMPRODUCT(--(DotNet_Assessment!$B$5:$B$64=$B15),--(DotNet_Assessment!$H$5:$H$64&gt;0),--ISNUMBER(DotNet_Assessment!$K$5:$K$64))</f>
        <v>0</v>
      </c>
      <c r="F15" s="13">
        <f>SUMPRODUCT(--(DotNet_Assessment!$B$5:$B$64=$B15),--(DotNet_Assessment!$H$5:$H$64&gt;0),--ISNUMBER(DotNet_Assessment!$K$5:$K$64),--(DotNet_Assessment!$K$5:$K$64&gt;=DotNet_Assessment!$H$5:$H$64))</f>
        <v>0</v>
      </c>
      <c r="G15" s="17">
        <f t="shared" si="0"/>
        <v>0</v>
      </c>
      <c r="H15" s="13">
        <f>COUNTIFS(DotNet_Assessment!$B$5:$B$64,$B15,DotNet_Assessment!$N$5:$N$64,"CRITICAL")</f>
        <v>0</v>
      </c>
      <c r="I15" s="13">
        <f>COUNTIFS(DotNet_Assessment!$B$5:$B$64,$B15,DotNet_Assessment!$N$5:$N$64,"GAP")</f>
        <v>0</v>
      </c>
    </row>
    <row r="16" spans="1:10" ht="13.8">
      <c r="B16" s="13" t="s">
        <v>87</v>
      </c>
      <c r="C16" s="3" t="s">
        <v>88</v>
      </c>
      <c r="D16" s="13">
        <f>COUNTIFS(DotNet_Assessment!$B$5:$B$64,$B16,DotNet_Assessment!$H$5:$H$64,"&gt;0")</f>
        <v>0</v>
      </c>
      <c r="E16" s="13">
        <f>SUMPRODUCT(--(DotNet_Assessment!$B$5:$B$64=$B16),--(DotNet_Assessment!$H$5:$H$64&gt;0),--ISNUMBER(DotNet_Assessment!$K$5:$K$64))</f>
        <v>0</v>
      </c>
      <c r="F16" s="13">
        <f>SUMPRODUCT(--(DotNet_Assessment!$B$5:$B$64=$B16),--(DotNet_Assessment!$H$5:$H$64&gt;0),--ISNUMBER(DotNet_Assessment!$K$5:$K$64),--(DotNet_Assessment!$K$5:$K$64&gt;=DotNet_Assessment!$H$5:$H$64))</f>
        <v>0</v>
      </c>
      <c r="G16" s="17">
        <f t="shared" si="0"/>
        <v>0</v>
      </c>
      <c r="H16" s="13">
        <f>COUNTIFS(DotNet_Assessment!$B$5:$B$64,$B16,DotNet_Assessment!$N$5:$N$64,"CRITICAL")</f>
        <v>0</v>
      </c>
      <c r="I16" s="13">
        <f>COUNTIFS(DotNet_Assessment!$B$5:$B$64,$B16,DotNet_Assessment!$N$5:$N$64,"GAP")</f>
        <v>0</v>
      </c>
    </row>
    <row r="17" spans="2:10" ht="13.8">
      <c r="B17" s="13" t="s">
        <v>92</v>
      </c>
      <c r="C17" s="3" t="s">
        <v>93</v>
      </c>
      <c r="D17" s="13">
        <f>COUNTIFS(DotNet_Assessment!$B$5:$B$64,$B17,DotNet_Assessment!$H$5:$H$64,"&gt;0")</f>
        <v>0</v>
      </c>
      <c r="E17" s="13">
        <f>SUMPRODUCT(--(DotNet_Assessment!$B$5:$B$64=$B17),--(DotNet_Assessment!$H$5:$H$64&gt;0),--ISNUMBER(DotNet_Assessment!$K$5:$K$64))</f>
        <v>0</v>
      </c>
      <c r="F17" s="13">
        <f>SUMPRODUCT(--(DotNet_Assessment!$B$5:$B$64=$B17),--(DotNet_Assessment!$H$5:$H$64&gt;0),--ISNUMBER(DotNet_Assessment!$K$5:$K$64),--(DotNet_Assessment!$K$5:$K$64&gt;=DotNet_Assessment!$H$5:$H$64))</f>
        <v>0</v>
      </c>
      <c r="G17" s="17">
        <f t="shared" si="0"/>
        <v>0</v>
      </c>
      <c r="H17" s="13">
        <f>COUNTIFS(DotNet_Assessment!$B$5:$B$64,$B17,DotNet_Assessment!$N$5:$N$64,"CRITICAL")</f>
        <v>0</v>
      </c>
      <c r="I17" s="13">
        <f>COUNTIFS(DotNet_Assessment!$B$5:$B$64,$B17,DotNet_Assessment!$N$5:$N$64,"GAP")</f>
        <v>0</v>
      </c>
    </row>
    <row r="18" spans="2:10" ht="13.8">
      <c r="B18" s="13" t="s">
        <v>100</v>
      </c>
      <c r="C18" s="3" t="s">
        <v>101</v>
      </c>
      <c r="D18" s="13">
        <f>COUNTIFS(DotNet_Assessment!$B$5:$B$64,$B18,DotNet_Assessment!$H$5:$H$64,"&gt;0")</f>
        <v>0</v>
      </c>
      <c r="E18" s="13">
        <f>SUMPRODUCT(--(DotNet_Assessment!$B$5:$B$64=$B18),--(DotNet_Assessment!$H$5:$H$64&gt;0),--ISNUMBER(DotNet_Assessment!$K$5:$K$64))</f>
        <v>0</v>
      </c>
      <c r="F18" s="13">
        <f>SUMPRODUCT(--(DotNet_Assessment!$B$5:$B$64=$B18),--(DotNet_Assessment!$H$5:$H$64&gt;0),--ISNUMBER(DotNet_Assessment!$K$5:$K$64),--(DotNet_Assessment!$K$5:$K$64&gt;=DotNet_Assessment!$H$5:$H$64))</f>
        <v>0</v>
      </c>
      <c r="G18" s="17">
        <f t="shared" si="0"/>
        <v>0</v>
      </c>
      <c r="H18" s="13">
        <f>COUNTIFS(DotNet_Assessment!$B$5:$B$64,$B18,DotNet_Assessment!$N$5:$N$64,"CRITICAL")</f>
        <v>0</v>
      </c>
      <c r="I18" s="13">
        <f>COUNTIFS(DotNet_Assessment!$B$5:$B$64,$B18,DotNet_Assessment!$N$5:$N$64,"GAP")</f>
        <v>0</v>
      </c>
    </row>
    <row r="19" spans="2:10" ht="13.8">
      <c r="B19" s="13" t="s">
        <v>105</v>
      </c>
      <c r="C19" s="3" t="s">
        <v>106</v>
      </c>
      <c r="D19" s="13">
        <f>COUNTIFS(DotNet_Assessment!$B$5:$B$64,$B19,DotNet_Assessment!$H$5:$H$64,"&gt;0")</f>
        <v>0</v>
      </c>
      <c r="E19" s="13">
        <f>SUMPRODUCT(--(DotNet_Assessment!$B$5:$B$64=$B19),--(DotNet_Assessment!$H$5:$H$64&gt;0),--ISNUMBER(DotNet_Assessment!$K$5:$K$64))</f>
        <v>0</v>
      </c>
      <c r="F19" s="13">
        <f>SUMPRODUCT(--(DotNet_Assessment!$B$5:$B$64=$B19),--(DotNet_Assessment!$H$5:$H$64&gt;0),--ISNUMBER(DotNet_Assessment!$K$5:$K$64),--(DotNet_Assessment!$K$5:$K$64&gt;=DotNet_Assessment!$H$5:$H$64))</f>
        <v>0</v>
      </c>
      <c r="G19" s="17">
        <f t="shared" si="0"/>
        <v>0</v>
      </c>
      <c r="H19" s="13">
        <f>COUNTIFS(DotNet_Assessment!$B$5:$B$64,$B19,DotNet_Assessment!$N$5:$N$64,"CRITICAL")</f>
        <v>0</v>
      </c>
      <c r="I19" s="13">
        <f>COUNTIFS(DotNet_Assessment!$B$5:$B$64,$B19,DotNet_Assessment!$N$5:$N$64,"GAP")</f>
        <v>0</v>
      </c>
    </row>
    <row r="21" spans="2:10" ht="15.75" customHeight="1">
      <c r="B21" s="26" t="s">
        <v>113</v>
      </c>
      <c r="C21" s="24"/>
      <c r="D21" s="24"/>
      <c r="E21" s="24"/>
      <c r="F21" s="24"/>
      <c r="G21" s="24"/>
      <c r="H21" s="24"/>
      <c r="I21" s="24"/>
      <c r="J21" s="24"/>
    </row>
    <row r="22" spans="2:10" ht="15.75" customHeight="1">
      <c r="B22" s="35" t="s">
        <v>114</v>
      </c>
      <c r="C22" s="33"/>
      <c r="D22" s="33"/>
      <c r="E22" s="33"/>
      <c r="F22" s="33"/>
      <c r="G22" s="33"/>
      <c r="H22" s="33"/>
      <c r="I22" s="33"/>
      <c r="J22" s="33"/>
    </row>
    <row r="23" spans="2:10" ht="15.75" customHeight="1">
      <c r="B23" s="34"/>
      <c r="C23" s="24"/>
      <c r="D23" s="24"/>
      <c r="E23" s="24"/>
      <c r="F23" s="24"/>
      <c r="G23" s="24"/>
      <c r="H23" s="24"/>
      <c r="I23" s="24"/>
      <c r="J23" s="24"/>
    </row>
    <row r="24" spans="2:10" ht="15.75" customHeight="1">
      <c r="B24" s="34"/>
      <c r="C24" s="24"/>
      <c r="D24" s="24"/>
      <c r="E24" s="24"/>
      <c r="F24" s="24"/>
      <c r="G24" s="24"/>
      <c r="H24" s="24"/>
      <c r="I24" s="24"/>
      <c r="J24" s="24"/>
    </row>
    <row r="25" spans="2:10" ht="15.75" customHeight="1"/>
    <row r="26" spans="2:10" ht="15.75" customHeight="1"/>
    <row r="27" spans="2:10" ht="15.75" customHeight="1"/>
    <row r="28" spans="2:10" ht="15.75" customHeight="1"/>
    <row r="29" spans="2:10" ht="15.75" customHeight="1"/>
    <row r="30" spans="2:10" ht="15.75" customHeight="1"/>
    <row r="31" spans="2:10" ht="15.75" customHeight="1"/>
    <row r="32" spans="2:10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7">
    <mergeCell ref="E5:F6"/>
    <mergeCell ref="H5:I6"/>
    <mergeCell ref="B12:J12"/>
    <mergeCell ref="B21:J21"/>
    <mergeCell ref="B22:J24"/>
    <mergeCell ref="B5:C6"/>
    <mergeCell ref="B8:C8"/>
    <mergeCell ref="E8:F8"/>
    <mergeCell ref="H8:I8"/>
    <mergeCell ref="B9:C10"/>
    <mergeCell ref="E9:F10"/>
    <mergeCell ref="H9:I10"/>
    <mergeCell ref="A1:J1"/>
    <mergeCell ref="A2:J2"/>
    <mergeCell ref="B4:C4"/>
    <mergeCell ref="E4:F4"/>
    <mergeCell ref="H4:I4"/>
  </mergeCells>
  <conditionalFormatting sqref="B5:C6">
    <cfRule type="expression" dxfId="3" priority="1">
      <formula>B5="CLIENT READY"</formula>
    </cfRule>
    <cfRule type="expression" dxfId="2" priority="2">
      <formula>B5="MINIMAL TRAINING NEEDED"</formula>
    </cfRule>
    <cfRule type="expression" dxfId="1" priority="3">
      <formula>B5="INTENSIVE TRAINING NEEDED"</formula>
    </cfRule>
    <cfRule type="expression" dxfId="0" priority="4">
      <formula>B5="ASSESSMENT INCOMPLETE"</formula>
    </cfRule>
  </conditionalFormatting>
  <pageMargins left="0.7" right="0.7" top="0.75" bottom="0.75" header="0" footer="0"/>
  <pageSetup orientation="landscape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Instructions</vt:lpstr>
      <vt:lpstr>DotNet_Assessment</vt:lpstr>
      <vt:lpstr>Assessment_Summary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Nambi R</cp:lastModifiedBy>
  <dcterms:modified xsi:type="dcterms:W3CDTF">2026-08-06T08:57:08Z</dcterms:modified>
</cp:coreProperties>
</file>